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PC\Downloads\"/>
    </mc:Choice>
  </mc:AlternateContent>
  <xr:revisionPtr revIDLastSave="0" documentId="13_ncr:1_{7D44E47E-E822-4210-9065-3449EE9AD391}" xr6:coauthVersionLast="47" xr6:coauthVersionMax="47" xr10:uidLastSave="{00000000-0000-0000-0000-000000000000}"/>
  <bookViews>
    <workbookView xWindow="-108" yWindow="-108" windowWidth="23256" windowHeight="12456" activeTab="2" xr2:uid="{408BA6AB-5196-496B-9C80-B057CC378CDA}"/>
  </bookViews>
  <sheets>
    <sheet name="Sheet1" sheetId="1" r:id="rId1"/>
    <sheet name="PivotTable" sheetId="4" r:id="rId2"/>
    <sheet name="DashBord" sheetId="3" r:id="rId3"/>
  </sheets>
  <definedNames>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9" i="4" l="1"/>
  <c r="C44" i="4"/>
  <c r="B62" i="4"/>
  <c r="E35" i="4"/>
  <c r="H6" i="4"/>
  <c r="B60" i="4"/>
  <c r="H9" i="4"/>
  <c r="K67" i="4"/>
  <c r="H8" i="4"/>
  <c r="B61" i="4"/>
  <c r="K65" i="4"/>
  <c r="C43" i="4"/>
  <c r="K66" i="4"/>
  <c r="C28" i="4"/>
  <c r="E33" i="4"/>
  <c r="B64" i="4"/>
  <c r="K63" i="4"/>
  <c r="K64" i="4"/>
  <c r="H7" i="4"/>
  <c r="C45" i="4"/>
  <c r="E34" i="4"/>
  <c r="H5" i="4"/>
  <c r="B63" i="4"/>
  <c r="H10" i="4" l="1"/>
  <c r="D45" i="4"/>
  <c r="E45" i="4" s="1"/>
  <c r="K68" i="4"/>
  <c r="E36" i="4"/>
  <c r="C30" i="4"/>
  <c r="D28" i="4"/>
  <c r="E28" i="4" s="1"/>
  <c r="C46" i="4"/>
  <c r="D43" i="4"/>
  <c r="E43" i="4" s="1"/>
  <c r="B65" i="4"/>
  <c r="D44" i="4"/>
  <c r="E44" i="4" s="1"/>
  <c r="D29" i="4"/>
  <c r="E29" i="4" s="1"/>
</calcChain>
</file>

<file path=xl/sharedStrings.xml><?xml version="1.0" encoding="utf-8"?>
<sst xmlns="http://schemas.openxmlformats.org/spreadsheetml/2006/main" count="886" uniqueCount="226">
  <si>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</si>
  <si>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</si>
  <si>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</si>
  <si>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</si>
  <si>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</si>
  <si>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</si>
  <si>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</si>
  <si>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</si>
  <si>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</si>
  <si>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</si>
  <si>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</si>
  <si>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</si>
  <si>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</si>
  <si>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</si>
  <si>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</si>
  <si>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</si>
  <si>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</si>
  <si>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</si>
  <si>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</si>
  <si>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</si>
  <si>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</si>
  <si>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</si>
  <si>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</si>
  <si>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</si>
  <si>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</si>
  <si>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</si>
  <si>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</si>
  <si>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</si>
  <si>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</si>
  <si>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</si>
  <si>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</si>
  <si>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</si>
  <si>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</si>
  <si>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</si>
  <si>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</si>
  <si>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</si>
  <si>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</si>
  <si>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</si>
  <si>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</si>
  <si>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</si>
  <si>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</si>
  <si>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</si>
  <si>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</si>
  <si>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</si>
  <si>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</si>
  <si>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</si>
  <si>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</si>
  <si>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</si>
  <si>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</si>
  <si>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</si>
  <si>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</si>
  <si>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</si>
  <si>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</si>
  <si>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</si>
  <si>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</si>
  <si>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</si>
  <si>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</si>
  <si>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</si>
  <si>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</si>
  <si>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</si>
  <si>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</si>
  <si>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</si>
  <si>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</si>
  <si>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</si>
  <si>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</si>
  <si>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</si>
  <si>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</si>
  <si>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</si>
  <si>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</si>
  <si>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</si>
  <si>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</si>
  <si>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</si>
  <si>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</si>
  <si>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</si>
  <si>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</si>
  <si>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</si>
  <si>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</si>
  <si>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</si>
  <si>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</si>
  <si>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</si>
  <si>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</si>
  <si>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</si>
  <si>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</si>
  <si>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</si>
  <si>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</si>
  <si>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</si>
  <si>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</si>
  <si>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</si>
  <si>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</si>
  <si>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</si>
  <si>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</si>
  <si>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</si>
  <si>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</si>
  <si>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</si>
  <si>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</si>
  <si>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</si>
  <si>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</si>
  <si>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</si>
  <si>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</si>
  <si>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</si>
  <si>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</si>
  <si>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</si>
  <si>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</si>
  <si>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</si>
  <si>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</si>
  <si>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</si>
  <si>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</si>
  <si>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</si>
  <si>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</si>
  <si>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</si>
  <si>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</si>
  <si>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</si>
  <si>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</si>
  <si>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</si>
  <si>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</si>
  <si>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</si>
  <si>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</si>
  <si>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</si>
  <si>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</si>
  <si>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</si>
  <si>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</si>
  <si>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</si>
  <si>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</si>
  <si>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</si>
  <si>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</si>
  <si>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</si>
  <si>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</si>
  <si>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</si>
  <si>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</si>
  <si>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</si>
  <si>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</si>
  <si>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</si>
  <si>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</si>
  <si>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</si>
  <si>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</si>
  <si>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</si>
  <si>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</si>
  <si>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</si>
  <si>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</si>
  <si>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</si>
  <si>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</si>
  <si>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</si>
  <si>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</si>
  <si>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</si>
  <si>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</si>
  <si>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</si>
  <si>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</si>
  <si>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</si>
  <si>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</si>
  <si>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</si>
  <si>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</si>
  <si>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</si>
  <si>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</si>
  <si>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</si>
  <si>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</si>
  <si>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</si>
  <si>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</si>
  <si>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</si>
  <si>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</si>
  <si>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</si>
  <si>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</si>
  <si>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</si>
  <si>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</si>
  <si>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</si>
  <si>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</si>
  <si>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</si>
  <si>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</si>
  <si>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</si>
  <si>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</si>
  <si>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</si>
  <si>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</si>
  <si>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</si>
  <si>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</si>
  <si>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</si>
  <si>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</si>
  <si>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</si>
  <si>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</si>
  <si>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</si>
  <si>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</si>
  <si>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</si>
  <si>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</si>
  <si>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</si>
  <si>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</si>
  <si>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</si>
  <si>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</si>
  <si>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</si>
  <si>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</si>
  <si>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</si>
  <si>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</si>
  <si>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</si>
  <si>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</si>
  <si>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</si>
  <si>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</si>
  <si>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</si>
  <si>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</si>
  <si>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</si>
  <si>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</si>
  <si>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</si>
  <si>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</si>
  <si>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</si>
  <si>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</si>
  <si>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</si>
  <si>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</si>
  <si>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</si>
  <si>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</si>
  <si>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</si>
  <si>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</si>
  <si>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</si>
  <si>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</si>
  <si>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</si>
  <si>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</si>
  <si>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</si>
  <si>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</si>
  <si>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</si>
  <si>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</si>
  <si>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(blank)</t>
  </si>
  <si>
    <t>Grand Total</t>
  </si>
  <si>
    <t>Count of Full Name</t>
  </si>
  <si>
    <t>Sum of Salary</t>
  </si>
  <si>
    <t>Employe Status Breakdown</t>
  </si>
  <si>
    <t>Column Labels</t>
  </si>
  <si>
    <t xml:space="preserve">Female </t>
  </si>
  <si>
    <t>Total</t>
  </si>
  <si>
    <t>Sum of Leave Taken</t>
  </si>
  <si>
    <t>Average of Performance Rating</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</si>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</sst>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8">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1"/>
      <name val="Aptos Narrow"/>
      <family val="2"/>
      <scheme val="minor"/>
    </font>
    <font>
      <b/>
      <sz val="11"/>
      <color theme="1"/>
      <name val="Aptos Narrow"/>
      <family val="2"/>
      <scheme val="minor"/>
    </font>
    <font>
      <sz val="11"/>
      <color theme="1"/>
      <name val="Kolumn park"/>
    </font>
    <font>
      <b/>
      <sz val="11"/>
      <color theme="1"/>
      <name val="Kolumn park"/>
    </font>
  </fonts>
  <fills count="4">
    <fill>
      <patternFill patternType="none"/>
    </fill>
    <fill>
      <patternFill patternType="gray125"/>
    </fill>
    <fill>
      <patternFill patternType="solid">
        <fgColor rgb="FF282828"/>
        <bgColor indexed="64"/>
      </patternFill>
    </fill>
    <fill>
      <patternFill patternType="solid">
        <fgColor theme="4" tint="0.79998168889431442"/>
        <bgColor theme="4" tint="0.79998168889431442"/>
      </patternFill>
    </fill>
  </fills>
  <borders count="3">
    <border>
      <left/>
      <right/>
      <top/>
      <bottom/>
      <diagonal/>
    </border>
    <border>
      <left/>
      <right/>
      <top style="thin">
        <color theme="1" tint="0.499984740745262"/>
      </top>
      <bottom style="thin">
        <color theme="1" tint="0.499984740745262"/>
      </bottom>
      <diagonal/>
    </border>
    <border>
      <left/>
      <right/>
      <top/>
      <bottom style="thin">
        <color theme="4" tint="0.39997558519241921"/>
      </bottom>
      <diagonal/>
    </border>
  </borders>
  <cellStyleXfs count="2">
    <xf numFmtId="0" fontId="0" fillId="0" borderId="0"/>
    <xf numFmtId="9" fontId="4" fillId="0" borderId="0" applyFont="0" applyFill="0" applyBorder="0" applyAlignment="0" applyProtection="0"/>
  </cellStyleXfs>
  <cellXfs count="20">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0" fillId="2" borderId="0" xfId="0" applyFill="1"/>
    <xf numFmtId="0" fontId="0" fillId="0" borderId="0" xfId="0" pivotButton="1"/>
    <xf numFmtId="0" fontId="0" fillId="0" borderId="0" xfId="0" applyAlignment="1">
      <alignment horizontal="left"/>
    </xf>
    <xf numFmtId="0" fontId="0" fillId="0" borderId="0" xfId="0" applyNumberFormat="1"/>
    <xf numFmtId="10" fontId="5" fillId="0" borderId="0" xfId="0" applyNumberFormat="1" applyFont="1"/>
    <xf numFmtId="0" fontId="6" fillId="0" borderId="0" xfId="0" pivotButton="1" applyFont="1"/>
    <xf numFmtId="0" fontId="6" fillId="0" borderId="0" xfId="0" applyFont="1"/>
    <xf numFmtId="0" fontId="6" fillId="0" borderId="0" xfId="0" applyFont="1" applyAlignment="1">
      <alignment horizontal="left"/>
    </xf>
    <xf numFmtId="0" fontId="6" fillId="0" borderId="0" xfId="0" applyNumberFormat="1" applyFont="1"/>
    <xf numFmtId="10" fontId="7" fillId="0" borderId="0" xfId="0" applyNumberFormat="1" applyFont="1"/>
    <xf numFmtId="10" fontId="0" fillId="0" borderId="0" xfId="0" applyNumberFormat="1"/>
    <xf numFmtId="9" fontId="0" fillId="0" borderId="0" xfId="1" applyFont="1"/>
    <xf numFmtId="10" fontId="6" fillId="0" borderId="0" xfId="0" applyNumberFormat="1" applyFont="1"/>
    <xf numFmtId="0" fontId="5" fillId="3" borderId="2" xfId="0" applyFont="1" applyFill="1" applyBorder="1"/>
    <xf numFmtId="164" fontId="0" fillId="0" borderId="0" xfId="0" applyNumberFormat="1"/>
    <xf numFmtId="164" fontId="5" fillId="0" borderId="0" xfId="0" applyNumberFormat="1" applyFont="1"/>
  </cellXfs>
  <cellStyles count="2">
    <cellStyle name="Normal" xfId="0" builtinId="0"/>
    <cellStyle name="Percent" xfId="1" builtinId="5"/>
  </cellStyles>
  <dxfs count="147">
    <dxf>
      <numFmt numFmtId="164" formatCode="0.0"/>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numFmt numFmtId="164" formatCode="0.0"/>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numFmt numFmtId="164" formatCode="0.0"/>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numFmt numFmtId="164" formatCode="0.0"/>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numFmt numFmtId="164" formatCode="0.0"/>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numFmt numFmtId="164" formatCode="0.0"/>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numFmt numFmtId="164" formatCode="0.0"/>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numFmt numFmtId="164" formatCode="0.0"/>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numFmt numFmtId="164" formatCode="0.0"/>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numFmt numFmtId="164" formatCode="0.0"/>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numFmt numFmtId="164" formatCode="0.0"/>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name val="Kolumn park"/>
        <scheme val="none"/>
      </font>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name val="Kunstler Script"/>
        <family val="4"/>
        <scheme val="none"/>
      </font>
      <fill>
        <patternFill>
          <fgColor rgb="FF111111"/>
          <bgColor rgb="FF111111"/>
        </patternFill>
      </fill>
    </dxf>
    <dxf>
      <font>
        <sz val="10"/>
      </font>
      <fill>
        <patternFill>
          <bgColor rgb="FF1F1F1F"/>
        </patternFill>
      </fill>
    </dxf>
    <dxf>
      <font>
        <name val="Kunstler Script"/>
        <family val="4"/>
        <scheme val="none"/>
      </font>
      <fill>
        <patternFill>
          <bgColor rgb="FF282828"/>
        </patternFill>
      </fill>
    </dxf>
  </dxfs>
  <tableStyles count="6" defaultTableStyle="TableStyleMedium2" defaultPivotStyle="PivotStyleLight16">
    <tableStyle name="Slicer Style 1" pivot="0" table="0" count="0" xr9:uid="{B0998377-D4BE-4437-936A-1DE0BDB191C6}"/>
    <tableStyle name="Slicer Style 2" pivot="0" table="0" count="1" xr9:uid="{835C7F96-9CE7-43EA-A490-1AE02853EC28}">
      <tableStyleElement type="headerRow" dxfId="146"/>
    </tableStyle>
    <tableStyle name="Slicer Style 3" pivot="0" table="0" count="3" xr9:uid="{C01A1038-74C9-4CE6-98E4-C5A3A0C553F3}">
      <tableStyleElement type="wholeTable" dxfId="145"/>
    </tableStyle>
    <tableStyle name="Slicer Style 4" pivot="0" table="0" count="1" xr9:uid="{8BB2BA67-434C-4123-BE5B-E5C71BBAEAFD}"/>
    <tableStyle name="Slicer Style 5" pivot="0" table="0" count="1" xr9:uid="{4F92DB2C-2172-4144-BCCC-BA1F221C53EE}">
      <tableStyleElement type="wholeTable" dxfId="144"/>
    </tableStyle>
    <tableStyle name="Slicer Style 6" pivot="0" table="0" count="1" xr9:uid="{5A033F21-304B-4E97-A0A3-4D75E606675F}"/>
  </tableStyles>
  <colors>
    <mruColors>
      <color rgb="FF282828"/>
      <color rgb="FFFFD244"/>
      <color rgb="FF1F1F1F"/>
      <color rgb="FF111111"/>
      <color rgb="FFFFFFFF"/>
      <color rgb="FF281008"/>
      <color rgb="FF11111F"/>
    </mruColors>
  </colors>
  <extLst>
    <ext xmlns:x14="http://schemas.microsoft.com/office/spreadsheetml/2009/9/main" uri="{46F421CA-312F-682f-3DD2-61675219B42D}">
      <x14:dxfs count="4">
        <dxf>
          <font>
            <b val="0"/>
            <i val="0"/>
            <sz val="10"/>
            <color rgb="FF111111"/>
            <name val="Kunstler Script"/>
            <family val="4"/>
            <scheme val="none"/>
          </font>
          <fill>
            <patternFill>
              <fgColor rgb="FFFFD244"/>
              <bgColor rgb="FFFFD244"/>
            </patternFill>
          </fill>
        </dxf>
        <dxf>
          <font>
            <b val="0"/>
            <i val="0"/>
            <u/>
            <sz val="10"/>
            <color rgb="FFFFD244"/>
            <name val="Javanese Text"/>
            <scheme val="none"/>
          </font>
          <fill>
            <patternFill>
              <fgColor rgb="FFFFD244"/>
              <bgColor rgb="FFFFD244"/>
            </patternFill>
          </fill>
        </dxf>
        <dxf>
          <font>
            <color rgb="FFFFD244"/>
          </font>
          <fill>
            <patternFill>
              <fgColor rgb="FF282828"/>
              <bgColor rgb="FF282828"/>
            </patternFill>
          </fill>
        </dxf>
        <dxf>
          <font>
            <b val="0"/>
            <i val="0"/>
            <sz val="10"/>
            <color rgb="FF1F1F1F"/>
            <name val="Aptos Display"/>
            <family val="2"/>
            <scheme val="major"/>
          </font>
          <fill>
            <patternFill>
              <fgColor rgb="FFFFD244"/>
              <bgColor rgb="FFFFD244"/>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3"/>
            <x14:slicerStyleElement type="hoveredUnselectedItemWithNoData" dxfId="2"/>
          </x14:slicerStyleElements>
        </x14:slicerStyle>
        <x14:slicerStyle name="Slicer Style 4">
          <x14:slicerStyleElements>
            <x14:slicerStyleElement type="selectedItemWithData" dxfId="1"/>
          </x14:slicerStyleElements>
        </x14:slicerStyle>
        <x14:slicerStyle name="Slicer Style 5"/>
        <x14:slicerStyle name="Slicer Style 6">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.xlsx]PivotTable!PivotTable1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BB-4A5E-A684-8B50897812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BB-4A5E-A684-8B50897812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BB-4A5E-A684-8B50897812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BB-4A5E-A684-8B508978120C}"/>
              </c:ext>
            </c:extLst>
          </c:dPt>
          <c:cat>
            <c:strRef>
              <c:f>PivotTable!$A$4:$A$8</c:f>
              <c:strCache>
                <c:ptCount val="4"/>
                <c:pt idx="0">
                  <c:v>Contract</c:v>
                </c:pt>
                <c:pt idx="1">
                  <c:v>Full-Time</c:v>
                </c:pt>
                <c:pt idx="2">
                  <c:v>Part-Time</c:v>
                </c:pt>
                <c:pt idx="3">
                  <c:v>(blank)</c:v>
                </c:pt>
              </c:strCache>
            </c:strRef>
          </c:cat>
          <c:val>
            <c:numRef>
              <c:f>PivotTable!$B$4:$B$8</c:f>
              <c:numCache>
                <c:formatCode>General</c:formatCode>
                <c:ptCount val="4"/>
                <c:pt idx="0">
                  <c:v>17</c:v>
                </c:pt>
                <c:pt idx="1">
                  <c:v>20</c:v>
                </c:pt>
                <c:pt idx="2">
                  <c:v>13</c:v>
                </c:pt>
              </c:numCache>
            </c:numRef>
          </c:val>
          <c:extLst>
            <c:ext xmlns:c16="http://schemas.microsoft.com/office/drawing/2014/chart" uri="{C3380CC4-5D6E-409C-BE32-E72D297353CC}">
              <c16:uniqueId val="{00000000-EA4F-47D4-B50F-12F8D41F62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.xlsx]PivotTable!PivotTable3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PivotTable!$C$18:$C$19</c:f>
              <c:strCache>
                <c:ptCount val="1"/>
                <c:pt idx="0">
                  <c:v>Female</c:v>
                </c:pt>
              </c:strCache>
            </c:strRef>
          </c:tx>
          <c:spPr>
            <a:solidFill>
              <a:schemeClr val="accent1"/>
            </a:solidFill>
            <a:ln>
              <a:noFill/>
            </a:ln>
            <a:effectLst/>
          </c:spPr>
          <c:invertIfNegative val="0"/>
          <c:cat>
            <c:strRef>
              <c:f>PivotTable!$B$20:$B$26</c:f>
              <c:strCache>
                <c:ptCount val="6"/>
                <c:pt idx="0">
                  <c:v>18-25</c:v>
                </c:pt>
                <c:pt idx="1">
                  <c:v>26-35</c:v>
                </c:pt>
                <c:pt idx="2">
                  <c:v>36-45</c:v>
                </c:pt>
                <c:pt idx="3">
                  <c:v>46-55</c:v>
                </c:pt>
                <c:pt idx="4">
                  <c:v>56 &lt;</c:v>
                </c:pt>
                <c:pt idx="5">
                  <c:v>(blank)</c:v>
                </c:pt>
              </c:strCache>
            </c:strRef>
          </c:cat>
          <c:val>
            <c:numRef>
              <c:f>PivotTable!$C$20:$C$26</c:f>
              <c:numCache>
                <c:formatCode>General</c:formatCode>
                <c:ptCount val="6"/>
                <c:pt idx="0">
                  <c:v>6</c:v>
                </c:pt>
                <c:pt idx="1">
                  <c:v>7</c:v>
                </c:pt>
                <c:pt idx="2">
                  <c:v>5</c:v>
                </c:pt>
                <c:pt idx="3">
                  <c:v>4</c:v>
                </c:pt>
                <c:pt idx="4">
                  <c:v>4</c:v>
                </c:pt>
              </c:numCache>
            </c:numRef>
          </c:val>
          <c:extLst>
            <c:ext xmlns:c16="http://schemas.microsoft.com/office/drawing/2014/chart" uri="{C3380CC4-5D6E-409C-BE32-E72D297353CC}">
              <c16:uniqueId val="{00000000-2C9D-4CD0-89F3-37F54B6937E9}"/>
            </c:ext>
          </c:extLst>
        </c:ser>
        <c:ser>
          <c:idx val="1"/>
          <c:order val="1"/>
          <c:tx>
            <c:strRef>
              <c:f>PivotTable!$D$18:$D$19</c:f>
              <c:strCache>
                <c:ptCount val="1"/>
                <c:pt idx="0">
                  <c:v>Male</c:v>
                </c:pt>
              </c:strCache>
            </c:strRef>
          </c:tx>
          <c:spPr>
            <a:solidFill>
              <a:schemeClr val="accent2"/>
            </a:solidFill>
            <a:ln>
              <a:noFill/>
            </a:ln>
            <a:effectLst/>
          </c:spPr>
          <c:invertIfNegative val="0"/>
          <c:cat>
            <c:strRef>
              <c:f>PivotTable!$B$20:$B$26</c:f>
              <c:strCache>
                <c:ptCount val="6"/>
                <c:pt idx="0">
                  <c:v>18-25</c:v>
                </c:pt>
                <c:pt idx="1">
                  <c:v>26-35</c:v>
                </c:pt>
                <c:pt idx="2">
                  <c:v>36-45</c:v>
                </c:pt>
                <c:pt idx="3">
                  <c:v>46-55</c:v>
                </c:pt>
                <c:pt idx="4">
                  <c:v>56 &lt;</c:v>
                </c:pt>
                <c:pt idx="5">
                  <c:v>(blank)</c:v>
                </c:pt>
              </c:strCache>
            </c:strRef>
          </c:cat>
          <c:val>
            <c:numRef>
              <c:f>PivotTable!$D$20:$D$26</c:f>
              <c:numCache>
                <c:formatCode>General</c:formatCode>
                <c:ptCount val="6"/>
                <c:pt idx="0">
                  <c:v>3</c:v>
                </c:pt>
                <c:pt idx="1">
                  <c:v>6</c:v>
                </c:pt>
                <c:pt idx="2">
                  <c:v>7</c:v>
                </c:pt>
                <c:pt idx="3">
                  <c:v>3</c:v>
                </c:pt>
                <c:pt idx="4">
                  <c:v>5</c:v>
                </c:pt>
              </c:numCache>
            </c:numRef>
          </c:val>
          <c:extLst>
            <c:ext xmlns:c16="http://schemas.microsoft.com/office/drawing/2014/chart" uri="{C3380CC4-5D6E-409C-BE32-E72D297353CC}">
              <c16:uniqueId val="{00000002-3F43-409E-9B21-C5A80DAE965F}"/>
            </c:ext>
          </c:extLst>
        </c:ser>
        <c:ser>
          <c:idx val="2"/>
          <c:order val="2"/>
          <c:tx>
            <c:strRef>
              <c:f>PivotTable!$E$18:$E$19</c:f>
              <c:strCache>
                <c:ptCount val="1"/>
                <c:pt idx="0">
                  <c:v>(blank)</c:v>
                </c:pt>
              </c:strCache>
            </c:strRef>
          </c:tx>
          <c:spPr>
            <a:solidFill>
              <a:schemeClr val="accent3"/>
            </a:solidFill>
            <a:ln>
              <a:noFill/>
            </a:ln>
            <a:effectLst/>
          </c:spPr>
          <c:invertIfNegative val="0"/>
          <c:cat>
            <c:strRef>
              <c:f>PivotTable!$B$20:$B$26</c:f>
              <c:strCache>
                <c:ptCount val="6"/>
                <c:pt idx="0">
                  <c:v>18-25</c:v>
                </c:pt>
                <c:pt idx="1">
                  <c:v>26-35</c:v>
                </c:pt>
                <c:pt idx="2">
                  <c:v>36-45</c:v>
                </c:pt>
                <c:pt idx="3">
                  <c:v>46-55</c:v>
                </c:pt>
                <c:pt idx="4">
                  <c:v>56 &lt;</c:v>
                </c:pt>
                <c:pt idx="5">
                  <c:v>(blank)</c:v>
                </c:pt>
              </c:strCache>
            </c:strRef>
          </c:cat>
          <c:val>
            <c:numRef>
              <c:f>PivotTable!$E$20:$E$26</c:f>
              <c:numCache>
                <c:formatCode>General</c:formatCode>
                <c:ptCount val="6"/>
              </c:numCache>
            </c:numRef>
          </c:val>
          <c:extLst>
            <c:ext xmlns:c16="http://schemas.microsoft.com/office/drawing/2014/chart" uri="{C3380CC4-5D6E-409C-BE32-E72D297353CC}">
              <c16:uniqueId val="{00000003-3F43-409E-9B21-C5A80DAE965F}"/>
            </c:ext>
          </c:extLst>
        </c:ser>
        <c:dLbls>
          <c:showLegendKey val="0"/>
          <c:showVal val="0"/>
          <c:showCatName val="0"/>
          <c:showSerName val="0"/>
          <c:showPercent val="0"/>
          <c:showBubbleSize val="0"/>
        </c:dLbls>
        <c:gapWidth val="219"/>
        <c:overlap val="-27"/>
        <c:axId val="392624447"/>
        <c:axId val="392612447"/>
      </c:barChart>
      <c:catAx>
        <c:axId val="39262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612447"/>
        <c:crosses val="autoZero"/>
        <c:auto val="1"/>
        <c:lblAlgn val="ctr"/>
        <c:lblOffset val="100"/>
        <c:noMultiLvlLbl val="0"/>
      </c:catAx>
      <c:valAx>
        <c:axId val="392612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624447"/>
        <c:crosses val="autoZero"/>
        <c:crossBetween val="between"/>
      </c:valAx>
      <c:spPr>
        <a:noFill/>
        <a:ln>
          <a:noFill/>
        </a:ln>
        <a:effectLst/>
      </c:spPr>
    </c:plotArea>
    <c:legend>
      <c:legendPos val="r"/>
      <c:layout>
        <c:manualLayout>
          <c:xMode val="edge"/>
          <c:yMode val="edge"/>
          <c:x val="0.64089347079037795"/>
          <c:y val="0.53906102362204722"/>
          <c:w val="0.22964732563769336"/>
          <c:h val="0.421877952755905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val>
            <c:numRef>
              <c:f>PivotTable!$D$43</c:f>
              <c:numCache>
                <c:formatCode>0.00%</c:formatCode>
                <c:ptCount val="1"/>
                <c:pt idx="0">
                  <c:v>0.46</c:v>
                </c:pt>
              </c:numCache>
            </c:numRef>
          </c:val>
          <c:extLst>
            <c:ext xmlns:c16="http://schemas.microsoft.com/office/drawing/2014/chart" uri="{C3380CC4-5D6E-409C-BE32-E72D297353CC}">
              <c16:uniqueId val="{00000000-3C17-4FD4-96F1-7AC708EFE0D0}"/>
            </c:ext>
          </c:extLst>
        </c:ser>
        <c:ser>
          <c:idx val="1"/>
          <c:order val="1"/>
          <c:spPr>
            <a:solidFill>
              <a:schemeClr val="accent2"/>
            </a:solidFill>
            <a:ln>
              <a:noFill/>
            </a:ln>
            <a:effectLst/>
          </c:spPr>
          <c:invertIfNegative val="0"/>
          <c:val>
            <c:numRef>
              <c:f>PivotTable!$E$43</c:f>
              <c:numCache>
                <c:formatCode>0.00%</c:formatCode>
                <c:ptCount val="1"/>
                <c:pt idx="0">
                  <c:v>0.54</c:v>
                </c:pt>
              </c:numCache>
            </c:numRef>
          </c:val>
          <c:extLst>
            <c:ext xmlns:c16="http://schemas.microsoft.com/office/drawing/2014/chart" uri="{C3380CC4-5D6E-409C-BE32-E72D297353CC}">
              <c16:uniqueId val="{00000001-3C17-4FD4-96F1-7AC708EFE0D0}"/>
            </c:ext>
          </c:extLst>
        </c:ser>
        <c:dLbls>
          <c:showLegendKey val="0"/>
          <c:showVal val="0"/>
          <c:showCatName val="0"/>
          <c:showSerName val="0"/>
          <c:showPercent val="0"/>
          <c:showBubbleSize val="0"/>
        </c:dLbls>
        <c:gapWidth val="150"/>
        <c:overlap val="100"/>
        <c:axId val="419759583"/>
        <c:axId val="419765343"/>
      </c:barChart>
      <c:catAx>
        <c:axId val="419759583"/>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765343"/>
        <c:crosses val="autoZero"/>
        <c:auto val="1"/>
        <c:lblAlgn val="ctr"/>
        <c:lblOffset val="100"/>
        <c:noMultiLvlLbl val="0"/>
      </c:catAx>
      <c:valAx>
        <c:axId val="419765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759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val>
            <c:numRef>
              <c:f>PivotTable!$D$44</c:f>
              <c:numCache>
                <c:formatCode>0.00%</c:formatCode>
                <c:ptCount val="1"/>
                <c:pt idx="0">
                  <c:v>0.16</c:v>
                </c:pt>
              </c:numCache>
            </c:numRef>
          </c:val>
          <c:extLst>
            <c:ext xmlns:c16="http://schemas.microsoft.com/office/drawing/2014/chart" uri="{C3380CC4-5D6E-409C-BE32-E72D297353CC}">
              <c16:uniqueId val="{00000000-F431-4527-A33D-EE7B359A756F}"/>
            </c:ext>
          </c:extLst>
        </c:ser>
        <c:ser>
          <c:idx val="1"/>
          <c:order val="1"/>
          <c:spPr>
            <a:solidFill>
              <a:schemeClr val="accent2"/>
            </a:solidFill>
            <a:ln>
              <a:noFill/>
            </a:ln>
            <a:effectLst/>
          </c:spPr>
          <c:invertIfNegative val="0"/>
          <c:val>
            <c:numRef>
              <c:f>PivotTable!$E$44</c:f>
              <c:numCache>
                <c:formatCode>0.00%</c:formatCode>
                <c:ptCount val="1"/>
                <c:pt idx="0">
                  <c:v>0.84</c:v>
                </c:pt>
              </c:numCache>
            </c:numRef>
          </c:val>
          <c:extLst>
            <c:ext xmlns:c16="http://schemas.microsoft.com/office/drawing/2014/chart" uri="{C3380CC4-5D6E-409C-BE32-E72D297353CC}">
              <c16:uniqueId val="{00000001-F431-4527-A33D-EE7B359A756F}"/>
            </c:ext>
          </c:extLst>
        </c:ser>
        <c:dLbls>
          <c:showLegendKey val="0"/>
          <c:showVal val="0"/>
          <c:showCatName val="0"/>
          <c:showSerName val="0"/>
          <c:showPercent val="0"/>
          <c:showBubbleSize val="0"/>
        </c:dLbls>
        <c:gapWidth val="150"/>
        <c:overlap val="100"/>
        <c:axId val="408884431"/>
        <c:axId val="408884911"/>
      </c:barChart>
      <c:catAx>
        <c:axId val="408884431"/>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884911"/>
        <c:crosses val="autoZero"/>
        <c:auto val="1"/>
        <c:lblAlgn val="ctr"/>
        <c:lblOffset val="100"/>
        <c:noMultiLvlLbl val="0"/>
      </c:catAx>
      <c:valAx>
        <c:axId val="4088849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884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val>
            <c:numRef>
              <c:f>PivotTable!$D$45</c:f>
              <c:numCache>
                <c:formatCode>0.00%</c:formatCode>
                <c:ptCount val="1"/>
                <c:pt idx="0">
                  <c:v>0.38</c:v>
                </c:pt>
              </c:numCache>
            </c:numRef>
          </c:val>
          <c:extLst>
            <c:ext xmlns:c16="http://schemas.microsoft.com/office/drawing/2014/chart" uri="{C3380CC4-5D6E-409C-BE32-E72D297353CC}">
              <c16:uniqueId val="{00000000-2544-4D0B-8ACE-1C83FF4E948D}"/>
            </c:ext>
          </c:extLst>
        </c:ser>
        <c:ser>
          <c:idx val="1"/>
          <c:order val="1"/>
          <c:spPr>
            <a:solidFill>
              <a:schemeClr val="accent2"/>
            </a:solidFill>
            <a:ln>
              <a:noFill/>
            </a:ln>
            <a:effectLst/>
          </c:spPr>
          <c:invertIfNegative val="0"/>
          <c:val>
            <c:numRef>
              <c:f>PivotTable!$E$45</c:f>
              <c:numCache>
                <c:formatCode>0.00%</c:formatCode>
                <c:ptCount val="1"/>
                <c:pt idx="0">
                  <c:v>0.62</c:v>
                </c:pt>
              </c:numCache>
            </c:numRef>
          </c:val>
          <c:extLst>
            <c:ext xmlns:c16="http://schemas.microsoft.com/office/drawing/2014/chart" uri="{C3380CC4-5D6E-409C-BE32-E72D297353CC}">
              <c16:uniqueId val="{00000001-2544-4D0B-8ACE-1C83FF4E948D}"/>
            </c:ext>
          </c:extLst>
        </c:ser>
        <c:dLbls>
          <c:showLegendKey val="0"/>
          <c:showVal val="0"/>
          <c:showCatName val="0"/>
          <c:showSerName val="0"/>
          <c:showPercent val="0"/>
          <c:showBubbleSize val="0"/>
        </c:dLbls>
        <c:gapWidth val="150"/>
        <c:overlap val="100"/>
        <c:axId val="2009652783"/>
        <c:axId val="2009656623"/>
      </c:barChart>
      <c:catAx>
        <c:axId val="2009652783"/>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656623"/>
        <c:crosses val="autoZero"/>
        <c:auto val="1"/>
        <c:lblAlgn val="ctr"/>
        <c:lblOffset val="100"/>
        <c:noMultiLvlLbl val="0"/>
      </c:catAx>
      <c:valAx>
        <c:axId val="20096566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652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72-4041-A479-BC1B37E6F1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72-4041-A479-BC1B37E6F146}"/>
              </c:ext>
            </c:extLst>
          </c:dPt>
          <c:val>
            <c:numRef>
              <c:f>PivotTable!$D$28:$E$28</c:f>
              <c:numCache>
                <c:formatCode>0.00%</c:formatCode>
                <c:ptCount val="2"/>
                <c:pt idx="0">
                  <c:v>0.52</c:v>
                </c:pt>
                <c:pt idx="1">
                  <c:v>0.48</c:v>
                </c:pt>
              </c:numCache>
            </c:numRef>
          </c:val>
          <c:extLst>
            <c:ext xmlns:c16="http://schemas.microsoft.com/office/drawing/2014/chart" uri="{C3380CC4-5D6E-409C-BE32-E72D297353CC}">
              <c16:uniqueId val="{00000000-20C7-4A69-9CCC-0E850E2D97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E6-4E16-96F0-2B52DE00BB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E6-4E16-96F0-2B52DE00BBA0}"/>
              </c:ext>
            </c:extLst>
          </c:dPt>
          <c:val>
            <c:numRef>
              <c:f>PivotTable!$D$29:$E$29</c:f>
              <c:numCache>
                <c:formatCode>0.00%</c:formatCode>
                <c:ptCount val="2"/>
                <c:pt idx="0">
                  <c:v>0.48</c:v>
                </c:pt>
                <c:pt idx="1">
                  <c:v>0.52</c:v>
                </c:pt>
              </c:numCache>
            </c:numRef>
          </c:val>
          <c:extLst>
            <c:ext xmlns:c16="http://schemas.microsoft.com/office/drawing/2014/chart" uri="{C3380CC4-5D6E-409C-BE32-E72D297353CC}">
              <c16:uniqueId val="{00000000-7D5B-4343-A300-A6E6BC52E9C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PivotTable!$G$5</c:f>
              <c:strCache>
                <c:ptCount val="1"/>
                <c:pt idx="0">
                  <c:v>Analyst</c:v>
                </c:pt>
              </c:strCache>
            </c:strRef>
          </c:tx>
          <c:spPr>
            <a:solidFill>
              <a:schemeClr val="accent1"/>
            </a:solidFill>
            <a:ln>
              <a:noFill/>
            </a:ln>
            <a:effectLst/>
          </c:spPr>
          <c:invertIfNegative val="0"/>
          <c:val>
            <c:numRef>
              <c:f>PivotTable!$H$5</c:f>
              <c:numCache>
                <c:formatCode>General</c:formatCode>
                <c:ptCount val="1"/>
                <c:pt idx="0">
                  <c:v>28</c:v>
                </c:pt>
              </c:numCache>
            </c:numRef>
          </c:val>
          <c:extLst>
            <c:ext xmlns:c16="http://schemas.microsoft.com/office/drawing/2014/chart" uri="{C3380CC4-5D6E-409C-BE32-E72D297353CC}">
              <c16:uniqueId val="{00000000-7DEA-4C17-8C48-76317B19CE54}"/>
            </c:ext>
          </c:extLst>
        </c:ser>
        <c:ser>
          <c:idx val="1"/>
          <c:order val="1"/>
          <c:tx>
            <c:strRef>
              <c:f>PivotTable!$G$6</c:f>
              <c:strCache>
                <c:ptCount val="1"/>
                <c:pt idx="0">
                  <c:v>Designer</c:v>
                </c:pt>
              </c:strCache>
            </c:strRef>
          </c:tx>
          <c:spPr>
            <a:solidFill>
              <a:schemeClr val="accent2"/>
            </a:solidFill>
            <a:ln>
              <a:noFill/>
            </a:ln>
            <a:effectLst/>
          </c:spPr>
          <c:invertIfNegative val="0"/>
          <c:val>
            <c:numRef>
              <c:f>PivotTable!$H$6</c:f>
              <c:numCache>
                <c:formatCode>General</c:formatCode>
                <c:ptCount val="1"/>
                <c:pt idx="0">
                  <c:v>110</c:v>
                </c:pt>
              </c:numCache>
            </c:numRef>
          </c:val>
          <c:extLst>
            <c:ext xmlns:c16="http://schemas.microsoft.com/office/drawing/2014/chart" uri="{C3380CC4-5D6E-409C-BE32-E72D297353CC}">
              <c16:uniqueId val="{00000001-7DEA-4C17-8C48-76317B19CE54}"/>
            </c:ext>
          </c:extLst>
        </c:ser>
        <c:ser>
          <c:idx val="2"/>
          <c:order val="2"/>
          <c:tx>
            <c:strRef>
              <c:f>PivotTable!$G$7</c:f>
              <c:strCache>
                <c:ptCount val="1"/>
                <c:pt idx="0">
                  <c:v>Developer</c:v>
                </c:pt>
              </c:strCache>
            </c:strRef>
          </c:tx>
          <c:spPr>
            <a:solidFill>
              <a:schemeClr val="accent3"/>
            </a:solidFill>
            <a:ln>
              <a:noFill/>
            </a:ln>
            <a:effectLst/>
          </c:spPr>
          <c:invertIfNegative val="0"/>
          <c:val>
            <c:numRef>
              <c:f>PivotTable!$H$7</c:f>
              <c:numCache>
                <c:formatCode>General</c:formatCode>
                <c:ptCount val="1"/>
                <c:pt idx="0">
                  <c:v>104</c:v>
                </c:pt>
              </c:numCache>
            </c:numRef>
          </c:val>
          <c:extLst>
            <c:ext xmlns:c16="http://schemas.microsoft.com/office/drawing/2014/chart" uri="{C3380CC4-5D6E-409C-BE32-E72D297353CC}">
              <c16:uniqueId val="{00000002-7DEA-4C17-8C48-76317B19CE54}"/>
            </c:ext>
          </c:extLst>
        </c:ser>
        <c:ser>
          <c:idx val="3"/>
          <c:order val="3"/>
          <c:tx>
            <c:strRef>
              <c:f>PivotTable!$G$8</c:f>
              <c:strCache>
                <c:ptCount val="1"/>
                <c:pt idx="0">
                  <c:v>HR Specialist</c:v>
                </c:pt>
              </c:strCache>
            </c:strRef>
          </c:tx>
          <c:spPr>
            <a:solidFill>
              <a:schemeClr val="accent4"/>
            </a:solidFill>
            <a:ln>
              <a:noFill/>
            </a:ln>
            <a:effectLst/>
          </c:spPr>
          <c:invertIfNegative val="0"/>
          <c:val>
            <c:numRef>
              <c:f>PivotTable!$H$8</c:f>
              <c:numCache>
                <c:formatCode>General</c:formatCode>
                <c:ptCount val="1"/>
                <c:pt idx="0">
                  <c:v>123</c:v>
                </c:pt>
              </c:numCache>
            </c:numRef>
          </c:val>
          <c:extLst>
            <c:ext xmlns:c16="http://schemas.microsoft.com/office/drawing/2014/chart" uri="{C3380CC4-5D6E-409C-BE32-E72D297353CC}">
              <c16:uniqueId val="{00000003-7DEA-4C17-8C48-76317B19CE54}"/>
            </c:ext>
          </c:extLst>
        </c:ser>
        <c:ser>
          <c:idx val="4"/>
          <c:order val="4"/>
          <c:tx>
            <c:strRef>
              <c:f>PivotTable!$G$9</c:f>
              <c:strCache>
                <c:ptCount val="1"/>
                <c:pt idx="0">
                  <c:v>Manager</c:v>
                </c:pt>
              </c:strCache>
            </c:strRef>
          </c:tx>
          <c:spPr>
            <a:solidFill>
              <a:schemeClr val="accent5"/>
            </a:solidFill>
            <a:ln>
              <a:noFill/>
            </a:ln>
            <a:effectLst/>
          </c:spPr>
          <c:invertIfNegative val="0"/>
          <c:val>
            <c:numRef>
              <c:f>PivotTable!$H$9</c:f>
              <c:numCache>
                <c:formatCode>General</c:formatCode>
                <c:ptCount val="1"/>
                <c:pt idx="0">
                  <c:v>122</c:v>
                </c:pt>
              </c:numCache>
            </c:numRef>
          </c:val>
          <c:extLst>
            <c:ext xmlns:c16="http://schemas.microsoft.com/office/drawing/2014/chart" uri="{C3380CC4-5D6E-409C-BE32-E72D297353CC}">
              <c16:uniqueId val="{00000004-7DEA-4C17-8C48-76317B19CE54}"/>
            </c:ext>
          </c:extLst>
        </c:ser>
        <c:ser>
          <c:idx val="5"/>
          <c:order val="5"/>
          <c:tx>
            <c:strRef>
              <c:f>PivotTable!$G$10</c:f>
              <c:strCache>
                <c:ptCount val="1"/>
                <c:pt idx="0">
                  <c:v>Total</c:v>
                </c:pt>
              </c:strCache>
            </c:strRef>
          </c:tx>
          <c:spPr>
            <a:solidFill>
              <a:schemeClr val="accent6"/>
            </a:solidFill>
            <a:ln>
              <a:noFill/>
            </a:ln>
            <a:effectLst/>
          </c:spPr>
          <c:invertIfNegative val="0"/>
          <c:val>
            <c:numRef>
              <c:f>PivotTable!$H$10</c:f>
              <c:numCache>
                <c:formatCode>General</c:formatCode>
                <c:ptCount val="1"/>
                <c:pt idx="0">
                  <c:v>487</c:v>
                </c:pt>
              </c:numCache>
            </c:numRef>
          </c:val>
          <c:extLst>
            <c:ext xmlns:c16="http://schemas.microsoft.com/office/drawing/2014/chart" uri="{C3380CC4-5D6E-409C-BE32-E72D297353CC}">
              <c16:uniqueId val="{00000005-7DEA-4C17-8C48-76317B19CE54}"/>
            </c:ext>
          </c:extLst>
        </c:ser>
        <c:dLbls>
          <c:showLegendKey val="0"/>
          <c:showVal val="0"/>
          <c:showCatName val="0"/>
          <c:showSerName val="0"/>
          <c:showPercent val="0"/>
          <c:showBubbleSize val="0"/>
        </c:dLbls>
        <c:gapWidth val="219"/>
        <c:overlap val="-27"/>
        <c:axId val="1784903024"/>
        <c:axId val="1784903984"/>
      </c:barChart>
      <c:catAx>
        <c:axId val="178490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4903984"/>
        <c:crosses val="autoZero"/>
        <c:auto val="1"/>
        <c:lblAlgn val="ctr"/>
        <c:lblOffset val="100"/>
        <c:noMultiLvlLbl val="0"/>
      </c:catAx>
      <c:valAx>
        <c:axId val="17849039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84903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.xlsx]PivotTable!PivotTable7</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PivotTable!$B$51</c:f>
              <c:strCache>
                <c:ptCount val="1"/>
                <c:pt idx="0">
                  <c:v>Total</c:v>
                </c:pt>
              </c:strCache>
            </c:strRef>
          </c:tx>
          <c:spPr>
            <a:solidFill>
              <a:schemeClr val="accent1"/>
            </a:solidFill>
            <a:ln>
              <a:noFill/>
            </a:ln>
            <a:effectLst/>
          </c:spPr>
          <c:invertIfNegative val="0"/>
          <c:cat>
            <c:strRef>
              <c:f>PivotTable!$A$52:$A$58</c:f>
              <c:strCache>
                <c:ptCount val="6"/>
                <c:pt idx="0">
                  <c:v>Central</c:v>
                </c:pt>
                <c:pt idx="1">
                  <c:v>East</c:v>
                </c:pt>
                <c:pt idx="2">
                  <c:v>North</c:v>
                </c:pt>
                <c:pt idx="3">
                  <c:v>South</c:v>
                </c:pt>
                <c:pt idx="4">
                  <c:v>West</c:v>
                </c:pt>
                <c:pt idx="5">
                  <c:v>(blank)</c:v>
                </c:pt>
              </c:strCache>
            </c:strRef>
          </c:cat>
          <c:val>
            <c:numRef>
              <c:f>PivotTable!$B$52:$B$58</c:f>
              <c:numCache>
                <c:formatCode>General</c:formatCode>
                <c:ptCount val="6"/>
                <c:pt idx="0">
                  <c:v>14</c:v>
                </c:pt>
                <c:pt idx="1">
                  <c:v>10</c:v>
                </c:pt>
                <c:pt idx="2">
                  <c:v>7</c:v>
                </c:pt>
                <c:pt idx="3">
                  <c:v>10</c:v>
                </c:pt>
                <c:pt idx="4">
                  <c:v>9</c:v>
                </c:pt>
              </c:numCache>
            </c:numRef>
          </c:val>
          <c:extLst>
            <c:ext xmlns:c16="http://schemas.microsoft.com/office/drawing/2014/chart" uri="{C3380CC4-5D6E-409C-BE32-E72D297353CC}">
              <c16:uniqueId val="{00000000-D43D-46D6-B892-7F64160A84F6}"/>
            </c:ext>
          </c:extLst>
        </c:ser>
        <c:dLbls>
          <c:showLegendKey val="0"/>
          <c:showVal val="0"/>
          <c:showCatName val="0"/>
          <c:showSerName val="0"/>
          <c:showPercent val="0"/>
          <c:showBubbleSize val="0"/>
        </c:dLbls>
        <c:gapWidth val="182"/>
        <c:axId val="571444799"/>
        <c:axId val="571454399"/>
      </c:barChart>
      <c:catAx>
        <c:axId val="571444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454399"/>
        <c:crosses val="autoZero"/>
        <c:auto val="1"/>
        <c:lblAlgn val="ctr"/>
        <c:lblOffset val="100"/>
        <c:noMultiLvlLbl val="0"/>
      </c:catAx>
      <c:valAx>
        <c:axId val="57145439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7144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.xlsx]PivotTable!PivotTable1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22225">
            <a:solidFill>
              <a:schemeClr val="bg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D244"/>
          </a:solidFill>
          <a:ln w="22225">
            <a:solidFill>
              <a:schemeClr val="bg2">
                <a:lumMod val="75000"/>
              </a:schemeClr>
            </a:solidFill>
          </a:ln>
          <a:effectLst/>
        </c:spPr>
      </c:pivotFmt>
      <c:pivotFmt>
        <c:idx val="8"/>
        <c:spPr>
          <a:solidFill>
            <a:schemeClr val="tx1">
              <a:lumMod val="65000"/>
              <a:lumOff val="35000"/>
            </a:schemeClr>
          </a:solidFill>
          <a:ln w="22225">
            <a:solidFill>
              <a:schemeClr val="bg2">
                <a:lumMod val="75000"/>
              </a:schemeClr>
            </a:solidFill>
          </a:ln>
          <a:effectLst/>
        </c:spPr>
      </c:pivotFmt>
      <c:pivotFmt>
        <c:idx val="9"/>
        <c:spPr>
          <a:solidFill>
            <a:schemeClr val="bg1">
              <a:lumMod val="95000"/>
            </a:schemeClr>
          </a:solidFill>
          <a:ln w="22225">
            <a:solidFill>
              <a:schemeClr val="bg2">
                <a:lumMod val="75000"/>
              </a:schemeClr>
            </a:solidFill>
          </a:ln>
          <a:effectLst/>
        </c:spPr>
      </c:pivotFmt>
      <c:pivotFmt>
        <c:idx val="10"/>
        <c:spPr>
          <a:solidFill>
            <a:schemeClr val="accent1"/>
          </a:solidFill>
          <a:ln w="22225">
            <a:solidFill>
              <a:schemeClr val="bg2">
                <a:lumMod val="75000"/>
              </a:schemeClr>
            </a:solidFill>
          </a:ln>
          <a:effectLst/>
        </c:spPr>
      </c:pivotFmt>
    </c:pivotFmts>
    <c:plotArea>
      <c:layout/>
      <c:pieChart>
        <c:varyColors val="1"/>
        <c:ser>
          <c:idx val="0"/>
          <c:order val="0"/>
          <c:tx>
            <c:strRef>
              <c:f>PivotTable!$B$3</c:f>
              <c:strCache>
                <c:ptCount val="1"/>
                <c:pt idx="0">
                  <c:v>Total</c:v>
                </c:pt>
              </c:strCache>
            </c:strRef>
          </c:tx>
          <c:spPr>
            <a:ln w="22225">
              <a:solidFill>
                <a:schemeClr val="bg2">
                  <a:lumMod val="75000"/>
                </a:schemeClr>
              </a:solidFill>
            </a:ln>
          </c:spPr>
          <c:explosion val="2"/>
          <c:dPt>
            <c:idx val="0"/>
            <c:bubble3D val="0"/>
            <c:spPr>
              <a:solidFill>
                <a:srgbClr val="FFD244"/>
              </a:solidFill>
              <a:ln w="22225">
                <a:solidFill>
                  <a:schemeClr val="bg2">
                    <a:lumMod val="75000"/>
                  </a:schemeClr>
                </a:solidFill>
              </a:ln>
              <a:effectLst/>
            </c:spPr>
            <c:extLst>
              <c:ext xmlns:c16="http://schemas.microsoft.com/office/drawing/2014/chart" uri="{C3380CC4-5D6E-409C-BE32-E72D297353CC}">
                <c16:uniqueId val="{00000001-3FC4-4A1B-9BC0-D95B54AAB9D9}"/>
              </c:ext>
            </c:extLst>
          </c:dPt>
          <c:dPt>
            <c:idx val="1"/>
            <c:bubble3D val="0"/>
            <c:spPr>
              <a:solidFill>
                <a:schemeClr val="tx1">
                  <a:lumMod val="65000"/>
                  <a:lumOff val="35000"/>
                </a:schemeClr>
              </a:solidFill>
              <a:ln w="22225">
                <a:solidFill>
                  <a:schemeClr val="bg2">
                    <a:lumMod val="75000"/>
                  </a:schemeClr>
                </a:solidFill>
              </a:ln>
              <a:effectLst/>
            </c:spPr>
            <c:extLst>
              <c:ext xmlns:c16="http://schemas.microsoft.com/office/drawing/2014/chart" uri="{C3380CC4-5D6E-409C-BE32-E72D297353CC}">
                <c16:uniqueId val="{00000003-3FC4-4A1B-9BC0-D95B54AAB9D9}"/>
              </c:ext>
            </c:extLst>
          </c:dPt>
          <c:dPt>
            <c:idx val="2"/>
            <c:bubble3D val="0"/>
            <c:spPr>
              <a:solidFill>
                <a:schemeClr val="bg1">
                  <a:lumMod val="95000"/>
                </a:schemeClr>
              </a:solidFill>
              <a:ln w="22225">
                <a:solidFill>
                  <a:schemeClr val="bg2">
                    <a:lumMod val="75000"/>
                  </a:schemeClr>
                </a:solidFill>
              </a:ln>
              <a:effectLst/>
            </c:spPr>
            <c:extLst>
              <c:ext xmlns:c16="http://schemas.microsoft.com/office/drawing/2014/chart" uri="{C3380CC4-5D6E-409C-BE32-E72D297353CC}">
                <c16:uniqueId val="{00000005-3FC4-4A1B-9BC0-D95B54AAB9D9}"/>
              </c:ext>
            </c:extLst>
          </c:dPt>
          <c:dPt>
            <c:idx val="3"/>
            <c:bubble3D val="0"/>
            <c:spPr>
              <a:solidFill>
                <a:schemeClr val="accent4"/>
              </a:solidFill>
              <a:ln w="22225">
                <a:solidFill>
                  <a:schemeClr val="bg2">
                    <a:lumMod val="75000"/>
                  </a:schemeClr>
                </a:solidFill>
              </a:ln>
              <a:effectLst/>
            </c:spPr>
            <c:extLst>
              <c:ext xmlns:c16="http://schemas.microsoft.com/office/drawing/2014/chart" uri="{C3380CC4-5D6E-409C-BE32-E72D297353CC}">
                <c16:uniqueId val="{00000007-3FC4-4A1B-9BC0-D95B54AAB9D9}"/>
              </c:ext>
            </c:extLst>
          </c:dPt>
          <c:cat>
            <c:strRef>
              <c:f>PivotTable!$A$4:$A$8</c:f>
              <c:strCache>
                <c:ptCount val="4"/>
                <c:pt idx="0">
                  <c:v>Contract</c:v>
                </c:pt>
                <c:pt idx="1">
                  <c:v>Full-Time</c:v>
                </c:pt>
                <c:pt idx="2">
                  <c:v>Part-Time</c:v>
                </c:pt>
                <c:pt idx="3">
                  <c:v>(blank)</c:v>
                </c:pt>
              </c:strCache>
            </c:strRef>
          </c:cat>
          <c:val>
            <c:numRef>
              <c:f>PivotTable!$B$4:$B$8</c:f>
              <c:numCache>
                <c:formatCode>General</c:formatCode>
                <c:ptCount val="4"/>
                <c:pt idx="0">
                  <c:v>17</c:v>
                </c:pt>
                <c:pt idx="1">
                  <c:v>20</c:v>
                </c:pt>
                <c:pt idx="2">
                  <c:v>13</c:v>
                </c:pt>
              </c:numCache>
            </c:numRef>
          </c:val>
          <c:extLst>
            <c:ext xmlns:c16="http://schemas.microsoft.com/office/drawing/2014/chart" uri="{C3380CC4-5D6E-409C-BE32-E72D297353CC}">
              <c16:uniqueId val="{00000008-3FC4-4A1B-9BC0-D95B54AAB9D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.xlsx]PivotTable!PivotTable3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D24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FFD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172243032727704E-2"/>
          <c:y val="0.26190476190476192"/>
          <c:w val="0.95605330887037177"/>
          <c:h val="0.60048650168728912"/>
        </c:manualLayout>
      </c:layout>
      <c:barChart>
        <c:barDir val="col"/>
        <c:grouping val="clustered"/>
        <c:varyColors val="0"/>
        <c:ser>
          <c:idx val="0"/>
          <c:order val="0"/>
          <c:tx>
            <c:strRef>
              <c:f>PivotTable!$C$18:$C$19</c:f>
              <c:strCache>
                <c:ptCount val="1"/>
                <c:pt idx="0">
                  <c:v>Female</c:v>
                </c:pt>
              </c:strCache>
            </c:strRef>
          </c:tx>
          <c:spPr>
            <a:solidFill>
              <a:srgbClr val="FFD244"/>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FFD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PivotTable!$B$20:$B$26</c:f>
              <c:strCache>
                <c:ptCount val="6"/>
                <c:pt idx="0">
                  <c:v>18-25</c:v>
                </c:pt>
                <c:pt idx="1">
                  <c:v>26-35</c:v>
                </c:pt>
                <c:pt idx="2">
                  <c:v>36-45</c:v>
                </c:pt>
                <c:pt idx="3">
                  <c:v>46-55</c:v>
                </c:pt>
                <c:pt idx="4">
                  <c:v>56 &lt;</c:v>
                </c:pt>
                <c:pt idx="5">
                  <c:v>(blank)</c:v>
                </c:pt>
              </c:strCache>
            </c:strRef>
          </c:cat>
          <c:val>
            <c:numRef>
              <c:f>PivotTable!$C$20:$C$26</c:f>
              <c:numCache>
                <c:formatCode>General</c:formatCode>
                <c:ptCount val="6"/>
                <c:pt idx="0">
                  <c:v>6</c:v>
                </c:pt>
                <c:pt idx="1">
                  <c:v>7</c:v>
                </c:pt>
                <c:pt idx="2">
                  <c:v>5</c:v>
                </c:pt>
                <c:pt idx="3">
                  <c:v>4</c:v>
                </c:pt>
                <c:pt idx="4">
                  <c:v>4</c:v>
                </c:pt>
              </c:numCache>
            </c:numRef>
          </c:val>
          <c:extLst>
            <c:ext xmlns:c16="http://schemas.microsoft.com/office/drawing/2014/chart" uri="{C3380CC4-5D6E-409C-BE32-E72D297353CC}">
              <c16:uniqueId val="{00000000-FD5A-491B-9876-987478593FED}"/>
            </c:ext>
          </c:extLst>
        </c:ser>
        <c:ser>
          <c:idx val="1"/>
          <c:order val="1"/>
          <c:tx>
            <c:strRef>
              <c:f>PivotTable!$D$18:$D$19</c:f>
              <c:strCache>
                <c:ptCount val="1"/>
                <c:pt idx="0">
                  <c:v>Male</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PivotTable!$B$20:$B$26</c:f>
              <c:strCache>
                <c:ptCount val="6"/>
                <c:pt idx="0">
                  <c:v>18-25</c:v>
                </c:pt>
                <c:pt idx="1">
                  <c:v>26-35</c:v>
                </c:pt>
                <c:pt idx="2">
                  <c:v>36-45</c:v>
                </c:pt>
                <c:pt idx="3">
                  <c:v>46-55</c:v>
                </c:pt>
                <c:pt idx="4">
                  <c:v>56 &lt;</c:v>
                </c:pt>
                <c:pt idx="5">
                  <c:v>(blank)</c:v>
                </c:pt>
              </c:strCache>
            </c:strRef>
          </c:cat>
          <c:val>
            <c:numRef>
              <c:f>PivotTable!$D$20:$D$26</c:f>
              <c:numCache>
                <c:formatCode>General</c:formatCode>
                <c:ptCount val="6"/>
                <c:pt idx="0">
                  <c:v>3</c:v>
                </c:pt>
                <c:pt idx="1">
                  <c:v>6</c:v>
                </c:pt>
                <c:pt idx="2">
                  <c:v>7</c:v>
                </c:pt>
                <c:pt idx="3">
                  <c:v>3</c:v>
                </c:pt>
                <c:pt idx="4">
                  <c:v>5</c:v>
                </c:pt>
              </c:numCache>
            </c:numRef>
          </c:val>
          <c:extLst>
            <c:ext xmlns:c16="http://schemas.microsoft.com/office/drawing/2014/chart" uri="{C3380CC4-5D6E-409C-BE32-E72D297353CC}">
              <c16:uniqueId val="{00000003-9D16-42C9-A39A-D88E6F66A74F}"/>
            </c:ext>
          </c:extLst>
        </c:ser>
        <c:ser>
          <c:idx val="2"/>
          <c:order val="2"/>
          <c:tx>
            <c:strRef>
              <c:f>PivotTable!$E$18:$E$19</c:f>
              <c:strCache>
                <c:ptCount val="1"/>
                <c:pt idx="0">
                  <c:v>(blank)</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PivotTable!$B$20:$B$26</c:f>
              <c:strCache>
                <c:ptCount val="6"/>
                <c:pt idx="0">
                  <c:v>18-25</c:v>
                </c:pt>
                <c:pt idx="1">
                  <c:v>26-35</c:v>
                </c:pt>
                <c:pt idx="2">
                  <c:v>36-45</c:v>
                </c:pt>
                <c:pt idx="3">
                  <c:v>46-55</c:v>
                </c:pt>
                <c:pt idx="4">
                  <c:v>56 &lt;</c:v>
                </c:pt>
                <c:pt idx="5">
                  <c:v>(blank)</c:v>
                </c:pt>
              </c:strCache>
            </c:strRef>
          </c:cat>
          <c:val>
            <c:numRef>
              <c:f>PivotTable!$E$20:$E$26</c:f>
              <c:numCache>
                <c:formatCode>General</c:formatCode>
                <c:ptCount val="6"/>
              </c:numCache>
            </c:numRef>
          </c:val>
          <c:extLst>
            <c:ext xmlns:c16="http://schemas.microsoft.com/office/drawing/2014/chart" uri="{C3380CC4-5D6E-409C-BE32-E72D297353CC}">
              <c16:uniqueId val="{00000004-9D16-42C9-A39A-D88E6F66A74F}"/>
            </c:ext>
          </c:extLst>
        </c:ser>
        <c:dLbls>
          <c:dLblPos val="outEnd"/>
          <c:showLegendKey val="0"/>
          <c:showVal val="1"/>
          <c:showCatName val="0"/>
          <c:showSerName val="0"/>
          <c:showPercent val="0"/>
          <c:showBubbleSize val="0"/>
        </c:dLbls>
        <c:gapWidth val="219"/>
        <c:overlap val="-27"/>
        <c:axId val="392624447"/>
        <c:axId val="392612447"/>
      </c:barChart>
      <c:catAx>
        <c:axId val="39262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2612447"/>
        <c:crosses val="autoZero"/>
        <c:auto val="1"/>
        <c:lblAlgn val="ctr"/>
        <c:lblOffset val="100"/>
        <c:noMultiLvlLbl val="0"/>
      </c:catAx>
      <c:valAx>
        <c:axId val="392612447"/>
        <c:scaling>
          <c:orientation val="minMax"/>
        </c:scaling>
        <c:delete val="1"/>
        <c:axPos val="l"/>
        <c:majorGridlines>
          <c:spPr>
            <a:ln w="9525" cap="flat" cmpd="sng" algn="ctr">
              <a:solidFill>
                <a:srgbClr val="FFD244"/>
              </a:solidFill>
              <a:prstDash val="sysDash"/>
              <a:round/>
            </a:ln>
            <a:effectLst/>
          </c:spPr>
        </c:majorGridlines>
        <c:numFmt formatCode="General" sourceLinked="1"/>
        <c:majorTickMark val="none"/>
        <c:minorTickMark val="none"/>
        <c:tickLblPos val="nextTo"/>
        <c:crossAx val="392624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FFD244"/>
            </a:solidFill>
            <a:ln>
              <a:noFill/>
            </a:ln>
            <a:effectLst/>
          </c:spPr>
          <c:invertIfNegative val="0"/>
          <c:val>
            <c:numRef>
              <c:f>PivotTable!$D$43</c:f>
              <c:numCache>
                <c:formatCode>0.00%</c:formatCode>
                <c:ptCount val="1"/>
                <c:pt idx="0">
                  <c:v>0.46</c:v>
                </c:pt>
              </c:numCache>
            </c:numRef>
          </c:val>
          <c:extLst>
            <c:ext xmlns:c16="http://schemas.microsoft.com/office/drawing/2014/chart" uri="{C3380CC4-5D6E-409C-BE32-E72D297353CC}">
              <c16:uniqueId val="{00000000-D8D8-49C7-B2A6-53F716E1168D}"/>
            </c:ext>
          </c:extLst>
        </c:ser>
        <c:ser>
          <c:idx val="1"/>
          <c:order val="1"/>
          <c:spPr>
            <a:solidFill>
              <a:schemeClr val="accent2"/>
            </a:solidFill>
            <a:ln>
              <a:noFill/>
            </a:ln>
            <a:effectLst/>
          </c:spPr>
          <c:invertIfNegative val="0"/>
          <c:dPt>
            <c:idx val="0"/>
            <c:invertIfNegative val="0"/>
            <c:bubble3D val="0"/>
            <c:spPr>
              <a:solidFill>
                <a:srgbClr val="111111"/>
              </a:solidFill>
              <a:ln>
                <a:noFill/>
              </a:ln>
              <a:effectLst/>
            </c:spPr>
            <c:extLst>
              <c:ext xmlns:c16="http://schemas.microsoft.com/office/drawing/2014/chart" uri="{C3380CC4-5D6E-409C-BE32-E72D297353CC}">
                <c16:uniqueId val="{00000000-7532-4F47-B062-00161C824EE8}"/>
              </c:ext>
            </c:extLst>
          </c:dPt>
          <c:val>
            <c:numRef>
              <c:f>PivotTable!$E$43</c:f>
              <c:numCache>
                <c:formatCode>0.00%</c:formatCode>
                <c:ptCount val="1"/>
                <c:pt idx="0">
                  <c:v>0.54</c:v>
                </c:pt>
              </c:numCache>
            </c:numRef>
          </c:val>
          <c:extLst>
            <c:ext xmlns:c16="http://schemas.microsoft.com/office/drawing/2014/chart" uri="{C3380CC4-5D6E-409C-BE32-E72D297353CC}">
              <c16:uniqueId val="{00000001-D8D8-49C7-B2A6-53F716E1168D}"/>
            </c:ext>
          </c:extLst>
        </c:ser>
        <c:dLbls>
          <c:showLegendKey val="0"/>
          <c:showVal val="0"/>
          <c:showCatName val="0"/>
          <c:showSerName val="0"/>
          <c:showPercent val="0"/>
          <c:showBubbleSize val="0"/>
        </c:dLbls>
        <c:gapWidth val="150"/>
        <c:overlap val="100"/>
        <c:axId val="419759583"/>
        <c:axId val="419765343"/>
      </c:barChart>
      <c:catAx>
        <c:axId val="419759583"/>
        <c:scaling>
          <c:orientation val="minMax"/>
        </c:scaling>
        <c:delete val="1"/>
        <c:axPos val="l"/>
        <c:majorTickMark val="none"/>
        <c:minorTickMark val="none"/>
        <c:tickLblPos val="nextTo"/>
        <c:crossAx val="419765343"/>
        <c:crosses val="autoZero"/>
        <c:auto val="1"/>
        <c:lblAlgn val="ctr"/>
        <c:lblOffset val="100"/>
        <c:noMultiLvlLbl val="0"/>
      </c:catAx>
      <c:valAx>
        <c:axId val="41976534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19759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FFD244"/>
            </a:solidFill>
            <a:ln>
              <a:noFill/>
            </a:ln>
            <a:effectLst/>
          </c:spPr>
          <c:invertIfNegative val="0"/>
          <c:val>
            <c:numRef>
              <c:f>PivotTable!$D$44</c:f>
              <c:numCache>
                <c:formatCode>0.00%</c:formatCode>
                <c:ptCount val="1"/>
                <c:pt idx="0">
                  <c:v>0.16</c:v>
                </c:pt>
              </c:numCache>
            </c:numRef>
          </c:val>
          <c:extLst>
            <c:ext xmlns:c16="http://schemas.microsoft.com/office/drawing/2014/chart" uri="{C3380CC4-5D6E-409C-BE32-E72D297353CC}">
              <c16:uniqueId val="{00000000-19A0-476A-87AC-204A7C6BFD6C}"/>
            </c:ext>
          </c:extLst>
        </c:ser>
        <c:ser>
          <c:idx val="1"/>
          <c:order val="1"/>
          <c:spPr>
            <a:solidFill>
              <a:srgbClr val="111111"/>
            </a:solidFill>
            <a:ln>
              <a:noFill/>
            </a:ln>
            <a:effectLst/>
          </c:spPr>
          <c:invertIfNegative val="0"/>
          <c:val>
            <c:numRef>
              <c:f>PivotTable!$E$44</c:f>
              <c:numCache>
                <c:formatCode>0.00%</c:formatCode>
                <c:ptCount val="1"/>
                <c:pt idx="0">
                  <c:v>0.84</c:v>
                </c:pt>
              </c:numCache>
            </c:numRef>
          </c:val>
          <c:extLst>
            <c:ext xmlns:c16="http://schemas.microsoft.com/office/drawing/2014/chart" uri="{C3380CC4-5D6E-409C-BE32-E72D297353CC}">
              <c16:uniqueId val="{00000001-19A0-476A-87AC-204A7C6BFD6C}"/>
            </c:ext>
          </c:extLst>
        </c:ser>
        <c:dLbls>
          <c:showLegendKey val="0"/>
          <c:showVal val="0"/>
          <c:showCatName val="0"/>
          <c:showSerName val="0"/>
          <c:showPercent val="0"/>
          <c:showBubbleSize val="0"/>
        </c:dLbls>
        <c:gapWidth val="150"/>
        <c:overlap val="100"/>
        <c:axId val="408884431"/>
        <c:axId val="408884911"/>
      </c:barChart>
      <c:catAx>
        <c:axId val="408884431"/>
        <c:scaling>
          <c:orientation val="minMax"/>
        </c:scaling>
        <c:delete val="1"/>
        <c:axPos val="l"/>
        <c:majorTickMark val="none"/>
        <c:minorTickMark val="none"/>
        <c:tickLblPos val="nextTo"/>
        <c:crossAx val="408884911"/>
        <c:crosses val="autoZero"/>
        <c:auto val="1"/>
        <c:lblAlgn val="ctr"/>
        <c:lblOffset val="100"/>
        <c:noMultiLvlLbl val="0"/>
      </c:catAx>
      <c:valAx>
        <c:axId val="408884911"/>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08884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FFD244"/>
            </a:solidFill>
            <a:ln>
              <a:noFill/>
            </a:ln>
            <a:effectLst/>
          </c:spPr>
          <c:invertIfNegative val="0"/>
          <c:val>
            <c:numRef>
              <c:f>PivotTable!$D$45</c:f>
              <c:numCache>
                <c:formatCode>0.00%</c:formatCode>
                <c:ptCount val="1"/>
                <c:pt idx="0">
                  <c:v>0.38</c:v>
                </c:pt>
              </c:numCache>
            </c:numRef>
          </c:val>
          <c:extLst>
            <c:ext xmlns:c16="http://schemas.microsoft.com/office/drawing/2014/chart" uri="{C3380CC4-5D6E-409C-BE32-E72D297353CC}">
              <c16:uniqueId val="{00000000-7167-4242-B769-9E5173C372B7}"/>
            </c:ext>
          </c:extLst>
        </c:ser>
        <c:ser>
          <c:idx val="1"/>
          <c:order val="1"/>
          <c:spPr>
            <a:solidFill>
              <a:srgbClr val="111111"/>
            </a:solidFill>
            <a:ln>
              <a:noFill/>
            </a:ln>
            <a:effectLst/>
          </c:spPr>
          <c:invertIfNegative val="0"/>
          <c:val>
            <c:numRef>
              <c:f>PivotTable!$E$45</c:f>
              <c:numCache>
                <c:formatCode>0.00%</c:formatCode>
                <c:ptCount val="1"/>
                <c:pt idx="0">
                  <c:v>0.62</c:v>
                </c:pt>
              </c:numCache>
            </c:numRef>
          </c:val>
          <c:extLst>
            <c:ext xmlns:c16="http://schemas.microsoft.com/office/drawing/2014/chart" uri="{C3380CC4-5D6E-409C-BE32-E72D297353CC}">
              <c16:uniqueId val="{00000001-7167-4242-B769-9E5173C372B7}"/>
            </c:ext>
          </c:extLst>
        </c:ser>
        <c:dLbls>
          <c:showLegendKey val="0"/>
          <c:showVal val="0"/>
          <c:showCatName val="0"/>
          <c:showSerName val="0"/>
          <c:showPercent val="0"/>
          <c:showBubbleSize val="0"/>
        </c:dLbls>
        <c:gapWidth val="150"/>
        <c:overlap val="100"/>
        <c:axId val="2009652783"/>
        <c:axId val="2009656623"/>
      </c:barChart>
      <c:catAx>
        <c:axId val="2009652783"/>
        <c:scaling>
          <c:orientation val="minMax"/>
        </c:scaling>
        <c:delete val="1"/>
        <c:axPos val="l"/>
        <c:majorTickMark val="none"/>
        <c:minorTickMark val="none"/>
        <c:tickLblPos val="nextTo"/>
        <c:crossAx val="2009656623"/>
        <c:crosses val="autoZero"/>
        <c:auto val="1"/>
        <c:lblAlgn val="ctr"/>
        <c:lblOffset val="100"/>
        <c:noMultiLvlLbl val="0"/>
      </c:catAx>
      <c:valAx>
        <c:axId val="200965662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09652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607871050017053"/>
          <c:y val="0.12269938650306748"/>
          <c:w val="0.6395939914290375"/>
          <c:h val="0.69452844468061126"/>
        </c:manualLayout>
      </c:layout>
      <c:doughnutChart>
        <c:varyColors val="1"/>
        <c:ser>
          <c:idx val="0"/>
          <c:order val="0"/>
          <c:spPr>
            <a:solidFill>
              <a:srgbClr val="FFD244"/>
            </a:solidFill>
          </c:spPr>
          <c:dPt>
            <c:idx val="0"/>
            <c:bubble3D val="0"/>
            <c:spPr>
              <a:solidFill>
                <a:srgbClr val="FFD244"/>
              </a:solidFill>
              <a:ln w="19050">
                <a:noFill/>
              </a:ln>
              <a:effectLst/>
            </c:spPr>
            <c:extLst>
              <c:ext xmlns:c16="http://schemas.microsoft.com/office/drawing/2014/chart" uri="{C3380CC4-5D6E-409C-BE32-E72D297353CC}">
                <c16:uniqueId val="{00000001-B273-448D-83BC-1D18196F3803}"/>
              </c:ext>
            </c:extLst>
          </c:dPt>
          <c:dPt>
            <c:idx val="1"/>
            <c:bubble3D val="0"/>
            <c:spPr>
              <a:solidFill>
                <a:srgbClr val="11111F"/>
              </a:solidFill>
              <a:ln w="19050">
                <a:noFill/>
              </a:ln>
              <a:effectLst/>
            </c:spPr>
            <c:extLst>
              <c:ext xmlns:c16="http://schemas.microsoft.com/office/drawing/2014/chart" uri="{C3380CC4-5D6E-409C-BE32-E72D297353CC}">
                <c16:uniqueId val="{00000003-B273-448D-83BC-1D18196F3803}"/>
              </c:ext>
            </c:extLst>
          </c:dPt>
          <c:val>
            <c:numRef>
              <c:f>PivotTable!$D$28:$E$28</c:f>
              <c:numCache>
                <c:formatCode>0.00%</c:formatCode>
                <c:ptCount val="2"/>
                <c:pt idx="0">
                  <c:v>0.52</c:v>
                </c:pt>
                <c:pt idx="1">
                  <c:v>0.48</c:v>
                </c:pt>
              </c:numCache>
            </c:numRef>
          </c:val>
          <c:extLst>
            <c:ext xmlns:c16="http://schemas.microsoft.com/office/drawing/2014/chart" uri="{C3380CC4-5D6E-409C-BE32-E72D297353CC}">
              <c16:uniqueId val="{00000004-B273-448D-83BC-1D18196F380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33676245977727359"/>
          <c:y val="0.74751525264639929"/>
          <c:w val="0.32647508044545281"/>
          <c:h val="0.25248474735360066"/>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437552353828112"/>
          <c:y val="0.10548523206751055"/>
          <c:w val="0.56670994583123924"/>
          <c:h val="0.6743131001029935"/>
        </c:manualLayout>
      </c:layout>
      <c:doughnutChart>
        <c:varyColors val="1"/>
        <c:ser>
          <c:idx val="0"/>
          <c:order val="0"/>
          <c:spPr>
            <a:ln>
              <a:noFill/>
            </a:ln>
          </c:spPr>
          <c:dPt>
            <c:idx val="0"/>
            <c:bubble3D val="0"/>
            <c:spPr>
              <a:solidFill>
                <a:srgbClr val="FFD244"/>
              </a:solidFill>
              <a:ln w="19050">
                <a:noFill/>
              </a:ln>
              <a:effectLst/>
            </c:spPr>
            <c:extLst>
              <c:ext xmlns:c16="http://schemas.microsoft.com/office/drawing/2014/chart" uri="{C3380CC4-5D6E-409C-BE32-E72D297353CC}">
                <c16:uniqueId val="{00000001-AAB0-407E-BFD6-474B9900F18B}"/>
              </c:ext>
            </c:extLst>
          </c:dPt>
          <c:dPt>
            <c:idx val="1"/>
            <c:bubble3D val="0"/>
            <c:spPr>
              <a:solidFill>
                <a:srgbClr val="11111F"/>
              </a:solidFill>
              <a:ln w="19050">
                <a:noFill/>
              </a:ln>
              <a:effectLst/>
            </c:spPr>
            <c:extLst>
              <c:ext xmlns:c16="http://schemas.microsoft.com/office/drawing/2014/chart" uri="{C3380CC4-5D6E-409C-BE32-E72D297353CC}">
                <c16:uniqueId val="{00000003-AAB0-407E-BFD6-474B9900F18B}"/>
              </c:ext>
            </c:extLst>
          </c:dPt>
          <c:val>
            <c:numRef>
              <c:f>PivotTable!$D$29:$E$29</c:f>
              <c:numCache>
                <c:formatCode>0.00%</c:formatCode>
                <c:ptCount val="2"/>
                <c:pt idx="0">
                  <c:v>0.48</c:v>
                </c:pt>
                <c:pt idx="1">
                  <c:v>0.52</c:v>
                </c:pt>
              </c:numCache>
            </c:numRef>
          </c:val>
          <c:extLst>
            <c:ext xmlns:c16="http://schemas.microsoft.com/office/drawing/2014/chart" uri="{C3380CC4-5D6E-409C-BE32-E72D297353CC}">
              <c16:uniqueId val="{00000004-AAB0-407E-BFD6-474B9900F1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PivotTable!$G$5</c:f>
              <c:strCache>
                <c:ptCount val="1"/>
                <c:pt idx="0">
                  <c:v>Analyst</c:v>
                </c:pt>
              </c:strCache>
            </c:strRef>
          </c:tx>
          <c:spPr>
            <a:solidFill>
              <a:schemeClr val="accent1"/>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8D-4AF2-ACEB-1DDC12324D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D24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PivotTable!$H$5</c:f>
              <c:numCache>
                <c:formatCode>General</c:formatCode>
                <c:ptCount val="1"/>
                <c:pt idx="0">
                  <c:v>28</c:v>
                </c:pt>
              </c:numCache>
            </c:numRef>
          </c:val>
          <c:extLst>
            <c:ext xmlns:c16="http://schemas.microsoft.com/office/drawing/2014/chart" uri="{C3380CC4-5D6E-409C-BE32-E72D297353CC}">
              <c16:uniqueId val="{00000000-6633-4540-B57F-FFDB9306D30E}"/>
            </c:ext>
          </c:extLst>
        </c:ser>
        <c:ser>
          <c:idx val="1"/>
          <c:order val="1"/>
          <c:tx>
            <c:strRef>
              <c:f>PivotTable!$G$6</c:f>
              <c:strCache>
                <c:ptCount val="1"/>
                <c:pt idx="0">
                  <c:v>Designer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PivotTable!$H$6</c:f>
              <c:numCache>
                <c:formatCode>General</c:formatCode>
                <c:ptCount val="1"/>
                <c:pt idx="0">
                  <c:v>110</c:v>
                </c:pt>
              </c:numCache>
            </c:numRef>
          </c:val>
          <c:extLst>
            <c:ext xmlns:c16="http://schemas.microsoft.com/office/drawing/2014/chart" uri="{C3380CC4-5D6E-409C-BE32-E72D297353CC}">
              <c16:uniqueId val="{00000001-6633-4540-B57F-FFDB9306D30E}"/>
            </c:ext>
          </c:extLst>
        </c:ser>
        <c:ser>
          <c:idx val="2"/>
          <c:order val="2"/>
          <c:tx>
            <c:strRef>
              <c:f>PivotTable!$G$7</c:f>
              <c:strCache>
                <c:ptCount val="1"/>
                <c:pt idx="0">
                  <c:v>Developer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D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PivotTable!$H$7</c:f>
              <c:numCache>
                <c:formatCode>General</c:formatCode>
                <c:ptCount val="1"/>
                <c:pt idx="0">
                  <c:v>104</c:v>
                </c:pt>
              </c:numCache>
            </c:numRef>
          </c:val>
          <c:extLst>
            <c:ext xmlns:c16="http://schemas.microsoft.com/office/drawing/2014/chart" uri="{C3380CC4-5D6E-409C-BE32-E72D297353CC}">
              <c16:uniqueId val="{00000002-6633-4540-B57F-FFDB9306D30E}"/>
            </c:ext>
          </c:extLst>
        </c:ser>
        <c:ser>
          <c:idx val="3"/>
          <c:order val="3"/>
          <c:tx>
            <c:strRef>
              <c:f>PivotTable!$G$8</c:f>
              <c:strCache>
                <c:ptCount val="1"/>
                <c:pt idx="0">
                  <c:v>HR Specialist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D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PivotTable!$H$8</c:f>
              <c:numCache>
                <c:formatCode>General</c:formatCode>
                <c:ptCount val="1"/>
                <c:pt idx="0">
                  <c:v>123</c:v>
                </c:pt>
              </c:numCache>
            </c:numRef>
          </c:val>
          <c:extLst>
            <c:ext xmlns:c16="http://schemas.microsoft.com/office/drawing/2014/chart" uri="{C3380CC4-5D6E-409C-BE32-E72D297353CC}">
              <c16:uniqueId val="{00000003-6633-4540-B57F-FFDB9306D30E}"/>
            </c:ext>
          </c:extLst>
        </c:ser>
        <c:ser>
          <c:idx val="4"/>
          <c:order val="4"/>
          <c:tx>
            <c:strRef>
              <c:f>PivotTable!$G$9</c:f>
              <c:strCache>
                <c:ptCount val="1"/>
                <c:pt idx="0">
                  <c:v>Manager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D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PivotTable!$H$9</c:f>
              <c:numCache>
                <c:formatCode>General</c:formatCode>
                <c:ptCount val="1"/>
                <c:pt idx="0">
                  <c:v>122</c:v>
                </c:pt>
              </c:numCache>
            </c:numRef>
          </c:val>
          <c:extLst>
            <c:ext xmlns:c16="http://schemas.microsoft.com/office/drawing/2014/chart" uri="{C3380CC4-5D6E-409C-BE32-E72D297353CC}">
              <c16:uniqueId val="{00000004-6633-4540-B57F-FFDB9306D30E}"/>
            </c:ext>
          </c:extLst>
        </c:ser>
        <c:ser>
          <c:idx val="5"/>
          <c:order val="5"/>
          <c:tx>
            <c:strRef>
              <c:f>PivotTable!$G$10</c:f>
              <c:strCache>
                <c:ptCount val="1"/>
                <c:pt idx="0">
                  <c:v>Total</c:v>
                </c:pt>
              </c:strCache>
            </c:strRef>
          </c:tx>
          <c:spPr>
            <a:solidFill>
              <a:schemeClr val="accent6"/>
            </a:solidFill>
            <a:ln>
              <a:noFill/>
            </a:ln>
            <a:effectLst/>
          </c:spPr>
          <c:invertIfNegative val="0"/>
          <c:dLbls>
            <c:dLbl>
              <c:idx val="0"/>
              <c:tx>
                <c:rich>
                  <a:bodyPr/>
                  <a:lstStyle/>
                  <a:p>
                    <a:fld id="{C28528EB-1CD4-4782-BD0E-3DCFAB9B8086}" type="VALUE">
                      <a:rPr lang="en-US">
                        <a:solidFill>
                          <a:schemeClr val="bg2">
                            <a:lumMod val="75000"/>
                          </a:schemeClr>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2A8D-4AF2-ACEB-1DDC12324D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D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PivotTable!$H$10</c:f>
              <c:numCache>
                <c:formatCode>General</c:formatCode>
                <c:ptCount val="1"/>
                <c:pt idx="0">
                  <c:v>487</c:v>
                </c:pt>
              </c:numCache>
            </c:numRef>
          </c:val>
          <c:extLst>
            <c:ext xmlns:c16="http://schemas.microsoft.com/office/drawing/2014/chart" uri="{C3380CC4-5D6E-409C-BE32-E72D297353CC}">
              <c16:uniqueId val="{00000005-6633-4540-B57F-FFDB9306D30E}"/>
            </c:ext>
          </c:extLst>
        </c:ser>
        <c:dLbls>
          <c:showLegendKey val="0"/>
          <c:showVal val="0"/>
          <c:showCatName val="0"/>
          <c:showSerName val="0"/>
          <c:showPercent val="0"/>
          <c:showBubbleSize val="0"/>
        </c:dLbls>
        <c:gapWidth val="219"/>
        <c:overlap val="-27"/>
        <c:axId val="1784903024"/>
        <c:axId val="1784903984"/>
      </c:barChart>
      <c:catAx>
        <c:axId val="17849030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FFD244"/>
                </a:solidFill>
                <a:latin typeface="+mn-lt"/>
                <a:ea typeface="+mn-ea"/>
                <a:cs typeface="+mn-cs"/>
              </a:defRPr>
            </a:pPr>
            <a:endParaRPr lang="en-US"/>
          </a:p>
        </c:txPr>
        <c:crossAx val="1784903984"/>
        <c:crosses val="autoZero"/>
        <c:auto val="1"/>
        <c:lblAlgn val="ctr"/>
        <c:lblOffset val="100"/>
        <c:noMultiLvlLbl val="0"/>
      </c:catAx>
      <c:valAx>
        <c:axId val="1784903984"/>
        <c:scaling>
          <c:orientation val="minMax"/>
        </c:scaling>
        <c:delete val="1"/>
        <c:axPos val="l"/>
        <c:majorGridlines>
          <c:spPr>
            <a:ln w="9525" cap="flat" cmpd="sng" algn="ctr">
              <a:solidFill>
                <a:srgbClr val="FFC000"/>
              </a:solidFill>
              <a:prstDash val="dashDot"/>
              <a:round/>
            </a:ln>
            <a:effectLst/>
          </c:spPr>
        </c:majorGridlines>
        <c:numFmt formatCode="General" sourceLinked="1"/>
        <c:majorTickMark val="none"/>
        <c:minorTickMark val="none"/>
        <c:tickLblPos val="nextTo"/>
        <c:crossAx val="17849030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rgbClr val="FFD244"/>
          </a:solidFill>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.xlsx]PivotTable!PivotTable7</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PivotTable!$B$51</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PivotTable!$A$52:$A$58</c:f>
              <c:strCache>
                <c:ptCount val="6"/>
                <c:pt idx="0">
                  <c:v>Central</c:v>
                </c:pt>
                <c:pt idx="1">
                  <c:v>East</c:v>
                </c:pt>
                <c:pt idx="2">
                  <c:v>North</c:v>
                </c:pt>
                <c:pt idx="3">
                  <c:v>South</c:v>
                </c:pt>
                <c:pt idx="4">
                  <c:v>West</c:v>
                </c:pt>
                <c:pt idx="5">
                  <c:v>(blank)</c:v>
                </c:pt>
              </c:strCache>
            </c:strRef>
          </c:cat>
          <c:val>
            <c:numRef>
              <c:f>PivotTable!$B$52:$B$58</c:f>
              <c:numCache>
                <c:formatCode>General</c:formatCode>
                <c:ptCount val="6"/>
                <c:pt idx="0">
                  <c:v>14</c:v>
                </c:pt>
                <c:pt idx="1">
                  <c:v>10</c:v>
                </c:pt>
                <c:pt idx="2">
                  <c:v>7</c:v>
                </c:pt>
                <c:pt idx="3">
                  <c:v>10</c:v>
                </c:pt>
                <c:pt idx="4">
                  <c:v>9</c:v>
                </c:pt>
              </c:numCache>
            </c:numRef>
          </c:val>
          <c:extLst>
            <c:ext xmlns:c16="http://schemas.microsoft.com/office/drawing/2014/chart" uri="{C3380CC4-5D6E-409C-BE32-E72D297353CC}">
              <c16:uniqueId val="{00000000-5A24-4592-97C4-D8920FE882F8}"/>
            </c:ext>
          </c:extLst>
        </c:ser>
        <c:dLbls>
          <c:dLblPos val="outEnd"/>
          <c:showLegendKey val="0"/>
          <c:showVal val="1"/>
          <c:showCatName val="0"/>
          <c:showSerName val="0"/>
          <c:showPercent val="0"/>
          <c:showBubbleSize val="0"/>
        </c:dLbls>
        <c:gapWidth val="182"/>
        <c:axId val="571444799"/>
        <c:axId val="571454399"/>
      </c:barChart>
      <c:catAx>
        <c:axId val="57144479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571454399"/>
        <c:crosses val="autoZero"/>
        <c:auto val="1"/>
        <c:lblAlgn val="ctr"/>
        <c:lblOffset val="100"/>
        <c:noMultiLvlLbl val="0"/>
      </c:catAx>
      <c:valAx>
        <c:axId val="571454399"/>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571444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3" Type="http://schemas.openxmlformats.org/officeDocument/2006/relationships/image" Target="../media/image11.png"/><Relationship Id="rId18" Type="http://schemas.openxmlformats.org/officeDocument/2006/relationships/image" Target="../media/image16.png"/><Relationship Id="rId26" Type="http://schemas.openxmlformats.org/officeDocument/2006/relationships/image" Target="../media/image21.png"/><Relationship Id="rId39" Type="http://schemas.openxmlformats.org/officeDocument/2006/relationships/image" Target="../media/image33.png"/><Relationship Id="rId21" Type="http://schemas.openxmlformats.org/officeDocument/2006/relationships/chart" Target="../charts/chart15.xml"/><Relationship Id="rId34" Type="http://schemas.openxmlformats.org/officeDocument/2006/relationships/image" Target="../media/image28.svg"/><Relationship Id="rId42" Type="http://schemas.openxmlformats.org/officeDocument/2006/relationships/image" Target="../media/image36.png"/><Relationship Id="rId7" Type="http://schemas.openxmlformats.org/officeDocument/2006/relationships/image" Target="../media/image5.png"/><Relationship Id="rId2" Type="http://schemas.openxmlformats.org/officeDocument/2006/relationships/chart" Target="../charts/chart10.xml"/><Relationship Id="rId16" Type="http://schemas.openxmlformats.org/officeDocument/2006/relationships/image" Target="../media/image14.svg"/><Relationship Id="rId20" Type="http://schemas.openxmlformats.org/officeDocument/2006/relationships/image" Target="../media/image18.svg"/><Relationship Id="rId29" Type="http://schemas.openxmlformats.org/officeDocument/2006/relationships/image" Target="../media/image23.png"/><Relationship Id="rId41" Type="http://schemas.openxmlformats.org/officeDocument/2006/relationships/image" Target="../media/image35.png"/><Relationship Id="rId1" Type="http://schemas.openxmlformats.org/officeDocument/2006/relationships/image" Target="../media/image1.png"/><Relationship Id="rId6" Type="http://schemas.openxmlformats.org/officeDocument/2006/relationships/chart" Target="../charts/chart14.xml"/><Relationship Id="rId11" Type="http://schemas.openxmlformats.org/officeDocument/2006/relationships/image" Target="../media/image9.png"/><Relationship Id="rId24" Type="http://schemas.openxmlformats.org/officeDocument/2006/relationships/image" Target="../media/image20.png"/><Relationship Id="rId32" Type="http://schemas.openxmlformats.org/officeDocument/2006/relationships/image" Target="../media/image26.png"/><Relationship Id="rId37" Type="http://schemas.openxmlformats.org/officeDocument/2006/relationships/image" Target="../media/image31.png"/><Relationship Id="rId40" Type="http://schemas.openxmlformats.org/officeDocument/2006/relationships/image" Target="../media/image34.png"/><Relationship Id="rId5" Type="http://schemas.openxmlformats.org/officeDocument/2006/relationships/chart" Target="../charts/chart13.xml"/><Relationship Id="rId15" Type="http://schemas.openxmlformats.org/officeDocument/2006/relationships/image" Target="../media/image13.png"/><Relationship Id="rId23" Type="http://schemas.openxmlformats.org/officeDocument/2006/relationships/image" Target="../media/image19.png"/><Relationship Id="rId28" Type="http://schemas.openxmlformats.org/officeDocument/2006/relationships/image" Target="../media/image22.png"/><Relationship Id="rId36" Type="http://schemas.openxmlformats.org/officeDocument/2006/relationships/image" Target="../media/image30.svg"/><Relationship Id="rId10" Type="http://schemas.openxmlformats.org/officeDocument/2006/relationships/image" Target="../media/image8.png"/><Relationship Id="rId19" Type="http://schemas.openxmlformats.org/officeDocument/2006/relationships/image" Target="../media/image17.png"/><Relationship Id="rId31" Type="http://schemas.openxmlformats.org/officeDocument/2006/relationships/image" Target="../media/image25.png"/><Relationship Id="rId4" Type="http://schemas.openxmlformats.org/officeDocument/2006/relationships/chart" Target="../charts/chart12.xml"/><Relationship Id="rId9" Type="http://schemas.openxmlformats.org/officeDocument/2006/relationships/image" Target="../media/image7.png"/><Relationship Id="rId14" Type="http://schemas.openxmlformats.org/officeDocument/2006/relationships/image" Target="../media/image12.png"/><Relationship Id="rId22" Type="http://schemas.openxmlformats.org/officeDocument/2006/relationships/chart" Target="../charts/chart16.xml"/><Relationship Id="rId27" Type="http://schemas.openxmlformats.org/officeDocument/2006/relationships/chart" Target="../charts/chart18.xml"/><Relationship Id="rId30" Type="http://schemas.openxmlformats.org/officeDocument/2006/relationships/image" Target="../media/image24.png"/><Relationship Id="rId35" Type="http://schemas.openxmlformats.org/officeDocument/2006/relationships/image" Target="../media/image29.png"/><Relationship Id="rId8" Type="http://schemas.openxmlformats.org/officeDocument/2006/relationships/image" Target="../media/image6.png"/><Relationship Id="rId3" Type="http://schemas.openxmlformats.org/officeDocument/2006/relationships/chart" Target="../charts/chart11.xml"/><Relationship Id="rId12" Type="http://schemas.openxmlformats.org/officeDocument/2006/relationships/image" Target="../media/image10.png"/><Relationship Id="rId17" Type="http://schemas.openxmlformats.org/officeDocument/2006/relationships/image" Target="../media/image15.png"/><Relationship Id="rId25" Type="http://schemas.openxmlformats.org/officeDocument/2006/relationships/chart" Target="../charts/chart17.xml"/><Relationship Id="rId33" Type="http://schemas.openxmlformats.org/officeDocument/2006/relationships/image" Target="../media/image27.png"/><Relationship Id="rId38" Type="http://schemas.openxmlformats.org/officeDocument/2006/relationships/image" Target="../media/image3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11</xdr:col>
      <xdr:colOff>121920</xdr:colOff>
      <xdr:row>12</xdr:row>
      <xdr:rowOff>80010</xdr:rowOff>
    </xdr:from>
    <xdr:to>
      <xdr:col>18</xdr:col>
      <xdr:colOff>426720</xdr:colOff>
      <xdr:row>27</xdr:row>
      <xdr:rowOff>80010</xdr:rowOff>
    </xdr:to>
    <xdr:graphicFrame macro="">
      <xdr:nvGraphicFramePr>
        <xdr:cNvPr id="2" name="Chart 1">
          <a:extLst>
            <a:ext uri="{FF2B5EF4-FFF2-40B4-BE49-F238E27FC236}">
              <a16:creationId xmlns:a16="http://schemas.microsoft.com/office/drawing/2014/main" id="{AC6ACF26-3600-230B-3341-60E303A63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571500</xdr:colOff>
      <xdr:row>20</xdr:row>
      <xdr:rowOff>91440</xdr:rowOff>
    </xdr:from>
    <xdr:to>
      <xdr:col>9</xdr:col>
      <xdr:colOff>220980</xdr:colOff>
      <xdr:row>28</xdr:row>
      <xdr:rowOff>152400</xdr:rowOff>
    </xdr:to>
    <xdr:graphicFrame macro="">
      <xdr:nvGraphicFramePr>
        <xdr:cNvPr id="4" name="Chart 3">
          <a:extLst>
            <a:ext uri="{FF2B5EF4-FFF2-40B4-BE49-F238E27FC236}">
              <a16:creationId xmlns:a16="http://schemas.microsoft.com/office/drawing/2014/main" id="{B81C25C6-3D99-6530-B526-5288CC26E4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601980</xdr:colOff>
      <xdr:row>22</xdr:row>
      <xdr:rowOff>7620</xdr:rowOff>
    </xdr:from>
    <xdr:to>
      <xdr:col>14</xdr:col>
      <xdr:colOff>15240</xdr:colOff>
      <xdr:row>28</xdr:row>
      <xdr:rowOff>0</xdr:rowOff>
    </xdr:to>
    <xdr:graphicFrame macro="">
      <xdr:nvGraphicFramePr>
        <xdr:cNvPr id="7" name="Chart 6">
          <a:extLst>
            <a:ext uri="{FF2B5EF4-FFF2-40B4-BE49-F238E27FC236}">
              <a16:creationId xmlns:a16="http://schemas.microsoft.com/office/drawing/2014/main" id="{6949BD59-5159-385B-775E-8C87747D8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586740</xdr:colOff>
      <xdr:row>28</xdr:row>
      <xdr:rowOff>160020</xdr:rowOff>
    </xdr:from>
    <xdr:to>
      <xdr:col>14</xdr:col>
      <xdr:colOff>15240</xdr:colOff>
      <xdr:row>35</xdr:row>
      <xdr:rowOff>22860</xdr:rowOff>
    </xdr:to>
    <xdr:graphicFrame macro="">
      <xdr:nvGraphicFramePr>
        <xdr:cNvPr id="8" name="Chart 7">
          <a:extLst>
            <a:ext uri="{FF2B5EF4-FFF2-40B4-BE49-F238E27FC236}">
              <a16:creationId xmlns:a16="http://schemas.microsoft.com/office/drawing/2014/main" id="{D249F01D-63B6-9338-D954-53B881CD4C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15240</xdr:colOff>
      <xdr:row>36</xdr:row>
      <xdr:rowOff>7620</xdr:rowOff>
    </xdr:from>
    <xdr:to>
      <xdr:col>14</xdr:col>
      <xdr:colOff>22860</xdr:colOff>
      <xdr:row>42</xdr:row>
      <xdr:rowOff>7620</xdr:rowOff>
    </xdr:to>
    <xdr:graphicFrame macro="">
      <xdr:nvGraphicFramePr>
        <xdr:cNvPr id="9" name="Chart 8">
          <a:extLst>
            <a:ext uri="{FF2B5EF4-FFF2-40B4-BE49-F238E27FC236}">
              <a16:creationId xmlns:a16="http://schemas.microsoft.com/office/drawing/2014/main" id="{1B1A09D2-98BB-C834-785C-5CDCC1ED3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129540</xdr:colOff>
      <xdr:row>17</xdr:row>
      <xdr:rowOff>83820</xdr:rowOff>
    </xdr:from>
    <xdr:to>
      <xdr:col>17</xdr:col>
      <xdr:colOff>434340</xdr:colOff>
      <xdr:row>32</xdr:row>
      <xdr:rowOff>83820</xdr:rowOff>
    </xdr:to>
    <xdr:graphicFrame macro="">
      <xdr:nvGraphicFramePr>
        <xdr:cNvPr id="5" name="Chart 4">
          <a:extLst>
            <a:ext uri="{FF2B5EF4-FFF2-40B4-BE49-F238E27FC236}">
              <a16:creationId xmlns:a16="http://schemas.microsoft.com/office/drawing/2014/main" id="{2D64CADC-8FC1-C73F-DCC5-08A0B67FD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624840</xdr:colOff>
      <xdr:row>21</xdr:row>
      <xdr:rowOff>38100</xdr:rowOff>
    </xdr:from>
    <xdr:to>
      <xdr:col>11</xdr:col>
      <xdr:colOff>548640</xdr:colOff>
      <xdr:row>36</xdr:row>
      <xdr:rowOff>38100</xdr:rowOff>
    </xdr:to>
    <xdr:graphicFrame macro="">
      <xdr:nvGraphicFramePr>
        <xdr:cNvPr id="6" name="Chart 5">
          <a:extLst>
            <a:ext uri="{FF2B5EF4-FFF2-40B4-BE49-F238E27FC236}">
              <a16:creationId xmlns:a16="http://schemas.microsoft.com/office/drawing/2014/main" id="{AFE1F636-13BD-8432-FA3B-AFFE29BD8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335280</xdr:colOff>
      <xdr:row>10</xdr:row>
      <xdr:rowOff>175260</xdr:rowOff>
    </xdr:from>
    <xdr:to>
      <xdr:col>10</xdr:col>
      <xdr:colOff>685800</xdr:colOff>
      <xdr:row>19</xdr:row>
      <xdr:rowOff>60960</xdr:rowOff>
    </xdr:to>
    <xdr:graphicFrame macro="">
      <xdr:nvGraphicFramePr>
        <xdr:cNvPr id="11" name="Chart 10">
          <a:extLst>
            <a:ext uri="{FF2B5EF4-FFF2-40B4-BE49-F238E27FC236}">
              <a16:creationId xmlns:a16="http://schemas.microsoft.com/office/drawing/2014/main" id="{2265F5F8-8692-A941-D9F0-4871AB1122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15240</xdr:colOff>
      <xdr:row>45</xdr:row>
      <xdr:rowOff>19050</xdr:rowOff>
    </xdr:from>
    <xdr:to>
      <xdr:col>7</xdr:col>
      <xdr:colOff>762000</xdr:colOff>
      <xdr:row>60</xdr:row>
      <xdr:rowOff>19050</xdr:rowOff>
    </xdr:to>
    <xdr:graphicFrame macro="">
      <xdr:nvGraphicFramePr>
        <xdr:cNvPr id="10" name="Chart 9">
          <a:extLst>
            <a:ext uri="{FF2B5EF4-FFF2-40B4-BE49-F238E27FC236}">
              <a16:creationId xmlns:a16="http://schemas.microsoft.com/office/drawing/2014/main" id="{E63EA877-890D-1B87-A84C-7874DF0360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76200</xdr:colOff>
      <xdr:row>42</xdr:row>
      <xdr:rowOff>106680</xdr:rowOff>
    </xdr:from>
    <xdr:to>
      <xdr:col>14</xdr:col>
      <xdr:colOff>76200</xdr:colOff>
      <xdr:row>56</xdr:row>
      <xdr:rowOff>127635</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26CF4B29-17AD-AE96-2CB8-AD8E4AF769F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559540" y="7787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617220</xdr:colOff>
      <xdr:row>0</xdr:row>
      <xdr:rowOff>76200</xdr:rowOff>
    </xdr:from>
    <xdr:to>
      <xdr:col>10</xdr:col>
      <xdr:colOff>1592580</xdr:colOff>
      <xdr:row>12</xdr:row>
      <xdr:rowOff>38099</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C12D4A2B-310F-6B6D-46AD-95C12640467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433560" y="76200"/>
              <a:ext cx="1828800" cy="2156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228600</xdr:colOff>
      <xdr:row>23</xdr:row>
      <xdr:rowOff>91440</xdr:rowOff>
    </xdr:from>
    <xdr:to>
      <xdr:col>11</xdr:col>
      <xdr:colOff>30480</xdr:colOff>
      <xdr:row>24</xdr:row>
      <xdr:rowOff>167640</xdr:rowOff>
    </xdr:to>
    <xdr:sp macro="" textlink="">
      <xdr:nvSpPr>
        <xdr:cNvPr id="24" name="Rectangle: Rounded Corners 23">
          <a:extLst>
            <a:ext uri="{FF2B5EF4-FFF2-40B4-BE49-F238E27FC236}">
              <a16:creationId xmlns:a16="http://schemas.microsoft.com/office/drawing/2014/main" id="{CBDC7055-E0A7-4A03-8457-B0F8AFB29C39}"/>
            </a:ext>
          </a:extLst>
        </xdr:cNvPr>
        <xdr:cNvSpPr/>
      </xdr:nvSpPr>
      <xdr:spPr>
        <a:xfrm rot="10800000">
          <a:off x="5715000" y="4297680"/>
          <a:ext cx="1021080" cy="259080"/>
        </a:xfrm>
        <a:prstGeom prst="roundRect">
          <a:avLst>
            <a:gd name="adj" fmla="val 46905"/>
          </a:avLst>
        </a:prstGeom>
        <a:solidFill>
          <a:srgbClr val="FFD2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205740</xdr:colOff>
      <xdr:row>31</xdr:row>
      <xdr:rowOff>53340</xdr:rowOff>
    </xdr:from>
    <xdr:to>
      <xdr:col>11</xdr:col>
      <xdr:colOff>66540</xdr:colOff>
      <xdr:row>32</xdr:row>
      <xdr:rowOff>122460</xdr:rowOff>
    </xdr:to>
    <xdr:sp macro="" textlink="">
      <xdr:nvSpPr>
        <xdr:cNvPr id="23" name="Rectangle: Rounded Corners 22">
          <a:extLst>
            <a:ext uri="{FF2B5EF4-FFF2-40B4-BE49-F238E27FC236}">
              <a16:creationId xmlns:a16="http://schemas.microsoft.com/office/drawing/2014/main" id="{1CCC0D84-094D-CEE5-4E2E-262F6E6964AC}"/>
            </a:ext>
          </a:extLst>
        </xdr:cNvPr>
        <xdr:cNvSpPr/>
      </xdr:nvSpPr>
      <xdr:spPr>
        <a:xfrm>
          <a:off x="5692140" y="5722620"/>
          <a:ext cx="1080000" cy="252000"/>
        </a:xfrm>
        <a:prstGeom prst="roundRect">
          <a:avLst>
            <a:gd name="adj" fmla="val 46905"/>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205740</xdr:colOff>
      <xdr:row>29</xdr:row>
      <xdr:rowOff>68580</xdr:rowOff>
    </xdr:from>
    <xdr:to>
      <xdr:col>11</xdr:col>
      <xdr:colOff>66540</xdr:colOff>
      <xdr:row>30</xdr:row>
      <xdr:rowOff>137700</xdr:rowOff>
    </xdr:to>
    <xdr:sp macro="" textlink="">
      <xdr:nvSpPr>
        <xdr:cNvPr id="27" name="Rectangle: Rounded Corners 26">
          <a:extLst>
            <a:ext uri="{FF2B5EF4-FFF2-40B4-BE49-F238E27FC236}">
              <a16:creationId xmlns:a16="http://schemas.microsoft.com/office/drawing/2014/main" id="{B15428C9-8869-41E8-9977-D37F010B0354}"/>
            </a:ext>
          </a:extLst>
        </xdr:cNvPr>
        <xdr:cNvSpPr/>
      </xdr:nvSpPr>
      <xdr:spPr>
        <a:xfrm>
          <a:off x="5692140" y="5372100"/>
          <a:ext cx="1080000" cy="252000"/>
        </a:xfrm>
        <a:prstGeom prst="roundRect">
          <a:avLst>
            <a:gd name="adj" fmla="val 46905"/>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205740</xdr:colOff>
      <xdr:row>27</xdr:row>
      <xdr:rowOff>99060</xdr:rowOff>
    </xdr:from>
    <xdr:to>
      <xdr:col>11</xdr:col>
      <xdr:colOff>66540</xdr:colOff>
      <xdr:row>28</xdr:row>
      <xdr:rowOff>168180</xdr:rowOff>
    </xdr:to>
    <xdr:sp macro="" textlink="">
      <xdr:nvSpPr>
        <xdr:cNvPr id="26" name="Rectangle: Rounded Corners 25">
          <a:extLst>
            <a:ext uri="{FF2B5EF4-FFF2-40B4-BE49-F238E27FC236}">
              <a16:creationId xmlns:a16="http://schemas.microsoft.com/office/drawing/2014/main" id="{F2DA28C8-0AF8-4ACB-B883-B952299C863D}"/>
            </a:ext>
          </a:extLst>
        </xdr:cNvPr>
        <xdr:cNvSpPr/>
      </xdr:nvSpPr>
      <xdr:spPr>
        <a:xfrm>
          <a:off x="5692140" y="5036820"/>
          <a:ext cx="1080000" cy="252000"/>
        </a:xfrm>
        <a:prstGeom prst="roundRect">
          <a:avLst>
            <a:gd name="adj" fmla="val 46905"/>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220980</xdr:colOff>
      <xdr:row>25</xdr:row>
      <xdr:rowOff>99060</xdr:rowOff>
    </xdr:from>
    <xdr:to>
      <xdr:col>11</xdr:col>
      <xdr:colOff>81780</xdr:colOff>
      <xdr:row>26</xdr:row>
      <xdr:rowOff>168180</xdr:rowOff>
    </xdr:to>
    <xdr:sp macro="" textlink="">
      <xdr:nvSpPr>
        <xdr:cNvPr id="25" name="Rectangle: Rounded Corners 24">
          <a:extLst>
            <a:ext uri="{FF2B5EF4-FFF2-40B4-BE49-F238E27FC236}">
              <a16:creationId xmlns:a16="http://schemas.microsoft.com/office/drawing/2014/main" id="{44A115FE-DC69-4190-9F79-BD0F2DE5A6F4}"/>
            </a:ext>
          </a:extLst>
        </xdr:cNvPr>
        <xdr:cNvSpPr/>
      </xdr:nvSpPr>
      <xdr:spPr>
        <a:xfrm>
          <a:off x="5707380" y="4671060"/>
          <a:ext cx="1080000" cy="252000"/>
        </a:xfrm>
        <a:prstGeom prst="roundRect">
          <a:avLst>
            <a:gd name="adj" fmla="val 46905"/>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7189</xdr:colOff>
      <xdr:row>0</xdr:row>
      <xdr:rowOff>7189</xdr:rowOff>
    </xdr:from>
    <xdr:to>
      <xdr:col>17</xdr:col>
      <xdr:colOff>83989</xdr:colOff>
      <xdr:row>33</xdr:row>
      <xdr:rowOff>92149</xdr:rowOff>
    </xdr:to>
    <xdr:sp macro="" textlink="">
      <xdr:nvSpPr>
        <xdr:cNvPr id="4" name="Rectangle: Rounded Corners 3">
          <a:extLst>
            <a:ext uri="{FF2B5EF4-FFF2-40B4-BE49-F238E27FC236}">
              <a16:creationId xmlns:a16="http://schemas.microsoft.com/office/drawing/2014/main" id="{7ED2CB30-1115-5CE4-642B-EAF8D1D78DB4}"/>
            </a:ext>
          </a:extLst>
        </xdr:cNvPr>
        <xdr:cNvSpPr/>
      </xdr:nvSpPr>
      <xdr:spPr>
        <a:xfrm>
          <a:off x="7189" y="7189"/>
          <a:ext cx="10464442" cy="6015620"/>
        </a:xfrm>
        <a:prstGeom prst="roundRect">
          <a:avLst>
            <a:gd name="adj" fmla="val 0"/>
          </a:avLst>
        </a:prstGeom>
        <a:solidFill>
          <a:srgbClr val="11111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xdr:colOff>
      <xdr:row>22</xdr:row>
      <xdr:rowOff>83820</xdr:rowOff>
    </xdr:from>
    <xdr:to>
      <xdr:col>3</xdr:col>
      <xdr:colOff>94440</xdr:colOff>
      <xdr:row>33</xdr:row>
      <xdr:rowOff>85500</xdr:rowOff>
    </xdr:to>
    <xdr:sp macro="" textlink="">
      <xdr:nvSpPr>
        <xdr:cNvPr id="6" name="Rectangle: Rounded Corners 5">
          <a:extLst>
            <a:ext uri="{FF2B5EF4-FFF2-40B4-BE49-F238E27FC236}">
              <a16:creationId xmlns:a16="http://schemas.microsoft.com/office/drawing/2014/main" id="{134B9008-E38A-4B6A-BF53-B20FF7ECB927}"/>
            </a:ext>
          </a:extLst>
        </xdr:cNvPr>
        <xdr:cNvSpPr/>
      </xdr:nvSpPr>
      <xdr:spPr>
        <a:xfrm>
          <a:off x="15240" y="4107180"/>
          <a:ext cx="1908000" cy="2013360"/>
        </a:xfrm>
        <a:prstGeom prst="roundRect">
          <a:avLst>
            <a:gd name="adj" fmla="val 693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xdr:colOff>
      <xdr:row>7</xdr:row>
      <xdr:rowOff>175260</xdr:rowOff>
    </xdr:from>
    <xdr:to>
      <xdr:col>3</xdr:col>
      <xdr:colOff>109680</xdr:colOff>
      <xdr:row>22</xdr:row>
      <xdr:rowOff>53340</xdr:rowOff>
    </xdr:to>
    <xdr:sp macro="" textlink="">
      <xdr:nvSpPr>
        <xdr:cNvPr id="7" name="Rectangle: Rounded Corners 6">
          <a:extLst>
            <a:ext uri="{FF2B5EF4-FFF2-40B4-BE49-F238E27FC236}">
              <a16:creationId xmlns:a16="http://schemas.microsoft.com/office/drawing/2014/main" id="{87EE9BE1-271B-40B9-B85F-D44416513847}"/>
            </a:ext>
          </a:extLst>
        </xdr:cNvPr>
        <xdr:cNvSpPr/>
      </xdr:nvSpPr>
      <xdr:spPr>
        <a:xfrm>
          <a:off x="30480" y="1455420"/>
          <a:ext cx="1908000" cy="2621280"/>
        </a:xfrm>
        <a:prstGeom prst="roundRect">
          <a:avLst>
            <a:gd name="adj" fmla="val 8065"/>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129540</xdr:colOff>
      <xdr:row>21</xdr:row>
      <xdr:rowOff>114300</xdr:rowOff>
    </xdr:from>
    <xdr:to>
      <xdr:col>7</xdr:col>
      <xdr:colOff>139140</xdr:colOff>
      <xdr:row>33</xdr:row>
      <xdr:rowOff>79740</xdr:rowOff>
    </xdr:to>
    <xdr:sp macro="" textlink="">
      <xdr:nvSpPr>
        <xdr:cNvPr id="3" name="Rectangle: Rounded Corners 2">
          <a:extLst>
            <a:ext uri="{FF2B5EF4-FFF2-40B4-BE49-F238E27FC236}">
              <a16:creationId xmlns:a16="http://schemas.microsoft.com/office/drawing/2014/main" id="{0588D1A3-3C03-4E64-9D6B-F78F9AF70986}"/>
            </a:ext>
          </a:extLst>
        </xdr:cNvPr>
        <xdr:cNvSpPr/>
      </xdr:nvSpPr>
      <xdr:spPr>
        <a:xfrm>
          <a:off x="1958340" y="3954780"/>
          <a:ext cx="2448000" cy="2160000"/>
        </a:xfrm>
        <a:prstGeom prst="roundRect">
          <a:avLst>
            <a:gd name="adj" fmla="val 4390"/>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144780</xdr:colOff>
      <xdr:row>21</xdr:row>
      <xdr:rowOff>137160</xdr:rowOff>
    </xdr:from>
    <xdr:to>
      <xdr:col>11</xdr:col>
      <xdr:colOff>154380</xdr:colOff>
      <xdr:row>33</xdr:row>
      <xdr:rowOff>102600</xdr:rowOff>
    </xdr:to>
    <xdr:sp macro="" textlink="">
      <xdr:nvSpPr>
        <xdr:cNvPr id="8" name="Rectangle: Rounded Corners 7">
          <a:extLst>
            <a:ext uri="{FF2B5EF4-FFF2-40B4-BE49-F238E27FC236}">
              <a16:creationId xmlns:a16="http://schemas.microsoft.com/office/drawing/2014/main" id="{EF83657E-CB91-4CF9-BCF9-88D524AD9958}"/>
            </a:ext>
          </a:extLst>
        </xdr:cNvPr>
        <xdr:cNvSpPr/>
      </xdr:nvSpPr>
      <xdr:spPr>
        <a:xfrm>
          <a:off x="4411980" y="3977640"/>
          <a:ext cx="2448000" cy="2160000"/>
        </a:xfrm>
        <a:prstGeom prst="roundRect">
          <a:avLst>
            <a:gd name="adj" fmla="val 4390"/>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a:solidFill>
                <a:srgbClr val="FFD244"/>
              </a:solidFill>
            </a:rPr>
            <a:t>Total Salary :</a:t>
          </a:r>
        </a:p>
        <a:p>
          <a:pPr algn="l"/>
          <a:r>
            <a:rPr lang="en-IN" sz="1100" b="0" i="0" u="none" strike="noStrike">
              <a:solidFill>
                <a:schemeClr val="lt1"/>
              </a:solidFill>
              <a:effectLst/>
              <a:latin typeface="+mn-lt"/>
              <a:ea typeface="+mn-ea"/>
              <a:cs typeface="+mn-cs"/>
            </a:rPr>
            <a:t>Analyst</a:t>
          </a:r>
          <a:r>
            <a:rPr lang="en-IN"/>
            <a:t>                                              </a:t>
          </a:r>
          <a:r>
            <a:rPr lang="en-IN" sz="1300" b="0" i="0" u="none" strike="noStrike">
              <a:solidFill>
                <a:schemeClr val="lt1"/>
              </a:solidFill>
              <a:effectLst/>
              <a:latin typeface="+mn-lt"/>
              <a:ea typeface="+mn-ea"/>
              <a:cs typeface="+mn-cs"/>
            </a:rPr>
            <a:t>167041</a:t>
          </a:r>
          <a:r>
            <a:rPr lang="en-IN" sz="1500"/>
            <a:t> </a:t>
          </a:r>
        </a:p>
        <a:p>
          <a:pPr algn="l"/>
          <a:endParaRPr lang="en-IN"/>
        </a:p>
        <a:p>
          <a:pPr algn="l"/>
          <a:r>
            <a:rPr lang="en-IN" sz="1100" b="0" i="0" u="none" strike="noStrike">
              <a:solidFill>
                <a:schemeClr val="lt1"/>
              </a:solidFill>
              <a:effectLst/>
              <a:latin typeface="+mn-lt"/>
              <a:ea typeface="+mn-ea"/>
              <a:cs typeface="+mn-cs"/>
            </a:rPr>
            <a:t>Designer</a:t>
          </a:r>
          <a:r>
            <a:rPr lang="en-IN"/>
            <a:t>                                          </a:t>
          </a:r>
          <a:r>
            <a:rPr lang="en-IN" baseline="0"/>
            <a:t> </a:t>
          </a:r>
          <a:r>
            <a:rPr lang="en-IN" sz="1300" b="0" i="0" u="none" strike="noStrike">
              <a:solidFill>
                <a:schemeClr val="lt1"/>
              </a:solidFill>
              <a:effectLst/>
              <a:latin typeface="+mn-lt"/>
              <a:ea typeface="+mn-ea"/>
              <a:cs typeface="+mn-cs"/>
            </a:rPr>
            <a:t>613842</a:t>
          </a:r>
          <a:r>
            <a:rPr lang="en-IN" sz="1300"/>
            <a:t> </a:t>
          </a:r>
        </a:p>
        <a:p>
          <a:pPr algn="l"/>
          <a:endParaRPr lang="en-IN"/>
        </a:p>
        <a:p>
          <a:pPr algn="l"/>
          <a:r>
            <a:rPr lang="en-IN" sz="1100" b="0" i="0" u="none" strike="noStrike">
              <a:solidFill>
                <a:schemeClr val="lt1"/>
              </a:solidFill>
              <a:effectLst/>
              <a:latin typeface="+mn-lt"/>
              <a:ea typeface="+mn-ea"/>
              <a:cs typeface="+mn-cs"/>
            </a:rPr>
            <a:t>Developer                                        </a:t>
          </a:r>
          <a:r>
            <a:rPr lang="en-IN" sz="1300" b="0" i="0" u="none" strike="noStrike">
              <a:solidFill>
                <a:schemeClr val="lt1"/>
              </a:solidFill>
              <a:effectLst/>
              <a:latin typeface="+mn-lt"/>
              <a:ea typeface="+mn-ea"/>
              <a:cs typeface="+mn-cs"/>
            </a:rPr>
            <a:t>633594</a:t>
          </a:r>
          <a:r>
            <a:rPr lang="en-IN"/>
            <a:t> </a:t>
          </a:r>
          <a:endParaRPr lang="en-IN" sz="1100" b="0" i="0" u="none" strike="noStrike">
            <a:solidFill>
              <a:schemeClr val="lt1"/>
            </a:solidFill>
            <a:effectLst/>
            <a:latin typeface="+mn-lt"/>
            <a:ea typeface="+mn-ea"/>
            <a:cs typeface="+mn-cs"/>
          </a:endParaRPr>
        </a:p>
        <a:p>
          <a:pPr algn="l"/>
          <a:r>
            <a:rPr lang="en-IN"/>
            <a:t> </a:t>
          </a:r>
        </a:p>
        <a:p>
          <a:pPr algn="l"/>
          <a:r>
            <a:rPr lang="en-IN" sz="1100" b="0" i="0" u="none" strike="noStrike">
              <a:solidFill>
                <a:schemeClr val="lt1"/>
              </a:solidFill>
              <a:effectLst/>
              <a:latin typeface="+mn-lt"/>
              <a:ea typeface="+mn-ea"/>
              <a:cs typeface="+mn-cs"/>
            </a:rPr>
            <a:t>HR Specialist</a:t>
          </a:r>
          <a:r>
            <a:rPr lang="en-IN"/>
            <a:t>                                  </a:t>
          </a:r>
          <a:r>
            <a:rPr lang="en-IN" sz="1300" b="0" i="0" u="none" strike="noStrike">
              <a:solidFill>
                <a:schemeClr val="lt1"/>
              </a:solidFill>
              <a:effectLst/>
              <a:latin typeface="+mn-lt"/>
              <a:ea typeface="+mn-ea"/>
              <a:cs typeface="+mn-cs"/>
            </a:rPr>
            <a:t>959266</a:t>
          </a:r>
          <a:r>
            <a:rPr lang="en-IN"/>
            <a:t> </a:t>
          </a:r>
        </a:p>
        <a:p>
          <a:pPr algn="l"/>
          <a:endParaRPr lang="en-IN"/>
        </a:p>
        <a:p>
          <a:pPr algn="l"/>
          <a:r>
            <a:rPr lang="en-IN" sz="1100" b="0" i="0" u="none" strike="noStrike">
              <a:solidFill>
                <a:schemeClr val="lt1"/>
              </a:solidFill>
              <a:effectLst/>
              <a:latin typeface="+mn-lt"/>
              <a:ea typeface="+mn-ea"/>
              <a:cs typeface="+mn-cs"/>
            </a:rPr>
            <a:t>Manager</a:t>
          </a:r>
          <a:r>
            <a:rPr lang="en-IN"/>
            <a:t>                                          </a:t>
          </a:r>
          <a:r>
            <a:rPr lang="en-IN" sz="1300"/>
            <a:t> </a:t>
          </a:r>
          <a:r>
            <a:rPr lang="en-IN" sz="1300" b="0" i="0" u="none" strike="noStrike">
              <a:solidFill>
                <a:schemeClr val="lt1"/>
              </a:solidFill>
              <a:effectLst/>
              <a:latin typeface="+mn-lt"/>
              <a:ea typeface="+mn-ea"/>
              <a:cs typeface="+mn-cs"/>
            </a:rPr>
            <a:t>731170</a:t>
          </a:r>
          <a:r>
            <a:rPr lang="en-IN" sz="1300"/>
            <a:t> </a:t>
          </a:r>
        </a:p>
        <a:p>
          <a:pPr algn="l"/>
          <a:endParaRPr lang="en-IN" sz="1100"/>
        </a:p>
      </xdr:txBody>
    </xdr:sp>
    <xdr:clientData/>
  </xdr:twoCellAnchor>
  <xdr:twoCellAnchor>
    <xdr:from>
      <xdr:col>3</xdr:col>
      <xdr:colOff>128160</xdr:colOff>
      <xdr:row>8</xdr:row>
      <xdr:rowOff>13662</xdr:rowOff>
    </xdr:from>
    <xdr:to>
      <xdr:col>7</xdr:col>
      <xdr:colOff>137760</xdr:colOff>
      <xdr:row>14</xdr:row>
      <xdr:rowOff>64698</xdr:rowOff>
    </xdr:to>
    <xdr:sp macro="" textlink="PivotTable!E36">
      <xdr:nvSpPr>
        <xdr:cNvPr id="9" name="Rectangle: Rounded Corners 8">
          <a:extLst>
            <a:ext uri="{FF2B5EF4-FFF2-40B4-BE49-F238E27FC236}">
              <a16:creationId xmlns:a16="http://schemas.microsoft.com/office/drawing/2014/main" id="{732BB321-C0C8-4B29-9425-17B7E6C44406}"/>
            </a:ext>
          </a:extLst>
        </xdr:cNvPr>
        <xdr:cNvSpPr/>
      </xdr:nvSpPr>
      <xdr:spPr>
        <a:xfrm>
          <a:off x="1944434" y="1516785"/>
          <a:ext cx="2431299" cy="1178379"/>
        </a:xfrm>
        <a:prstGeom prst="roundRect">
          <a:avLst>
            <a:gd name="adj" fmla="val 4390"/>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06F0866-ECF0-493A-AB92-1D28CA44430F}" type="TxLink">
            <a:rPr lang="en-US" sz="1100" b="0" i="0" u="none" strike="noStrike">
              <a:solidFill>
                <a:srgbClr val="000000"/>
              </a:solidFill>
              <a:latin typeface="Aptos Narrow"/>
            </a:rPr>
            <a:pPr algn="l"/>
            <a:t>50</a:t>
          </a:fld>
          <a:endParaRPr lang="en-IN" sz="1100"/>
        </a:p>
      </xdr:txBody>
    </xdr:sp>
    <xdr:clientData/>
  </xdr:twoCellAnchor>
  <xdr:twoCellAnchor>
    <xdr:from>
      <xdr:col>7</xdr:col>
      <xdr:colOff>170458</xdr:colOff>
      <xdr:row>7</xdr:row>
      <xdr:rowOff>163764</xdr:rowOff>
    </xdr:from>
    <xdr:to>
      <xdr:col>11</xdr:col>
      <xdr:colOff>180058</xdr:colOff>
      <xdr:row>21</xdr:row>
      <xdr:rowOff>94145</xdr:rowOff>
    </xdr:to>
    <xdr:sp macro="" textlink="">
      <xdr:nvSpPr>
        <xdr:cNvPr id="10" name="Rectangle: Rounded Corners 9">
          <a:extLst>
            <a:ext uri="{FF2B5EF4-FFF2-40B4-BE49-F238E27FC236}">
              <a16:creationId xmlns:a16="http://schemas.microsoft.com/office/drawing/2014/main" id="{9AAB5B73-0503-4F49-B26C-AF009DE7BE28}"/>
            </a:ext>
          </a:extLst>
        </xdr:cNvPr>
        <xdr:cNvSpPr/>
      </xdr:nvSpPr>
      <xdr:spPr>
        <a:xfrm>
          <a:off x="4408431" y="1478997"/>
          <a:ext cx="2431298" cy="2560847"/>
        </a:xfrm>
        <a:prstGeom prst="roundRect">
          <a:avLst>
            <a:gd name="adj" fmla="val 4390"/>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144780</xdr:colOff>
      <xdr:row>14</xdr:row>
      <xdr:rowOff>100641</xdr:rowOff>
    </xdr:from>
    <xdr:to>
      <xdr:col>5</xdr:col>
      <xdr:colOff>5580</xdr:colOff>
      <xdr:row>21</xdr:row>
      <xdr:rowOff>100440</xdr:rowOff>
    </xdr:to>
    <xdr:sp macro="" textlink="PivotTable!D28">
      <xdr:nvSpPr>
        <xdr:cNvPr id="11" name="Rectangle: Rounded Corners 10">
          <a:extLst>
            <a:ext uri="{FF2B5EF4-FFF2-40B4-BE49-F238E27FC236}">
              <a16:creationId xmlns:a16="http://schemas.microsoft.com/office/drawing/2014/main" id="{7472AC8F-7388-4497-B104-8AEB207FE285}"/>
            </a:ext>
          </a:extLst>
        </xdr:cNvPr>
        <xdr:cNvSpPr/>
      </xdr:nvSpPr>
      <xdr:spPr>
        <a:xfrm>
          <a:off x="1977893" y="2616679"/>
          <a:ext cx="1082876" cy="1257818"/>
        </a:xfrm>
        <a:prstGeom prst="roundRect">
          <a:avLst>
            <a:gd name="adj" fmla="val 4390"/>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0" u="none" strike="noStrike">
            <a:solidFill>
              <a:srgbClr val="000000"/>
            </a:solidFill>
            <a:latin typeface="Kolumn park"/>
          </a:endParaRPr>
        </a:p>
        <a:p>
          <a:pPr algn="l"/>
          <a:endParaRPr lang="en-US" sz="1100" b="1" i="0" u="none" strike="noStrike">
            <a:solidFill>
              <a:srgbClr val="000000"/>
            </a:solidFill>
            <a:latin typeface="Kolumn park"/>
          </a:endParaRPr>
        </a:p>
        <a:p>
          <a:pPr algn="l"/>
          <a:endParaRPr lang="en-US" sz="1100" b="1" i="0" u="none" strike="noStrike">
            <a:solidFill>
              <a:srgbClr val="000000"/>
            </a:solidFill>
            <a:latin typeface="Kolumn park"/>
          </a:endParaRPr>
        </a:p>
        <a:p>
          <a:pPr algn="l"/>
          <a:r>
            <a:rPr lang="en-US" sz="1100" b="1" i="0" u="none" strike="noStrike" baseline="0">
              <a:solidFill>
                <a:srgbClr val="000000"/>
              </a:solidFill>
              <a:latin typeface="Kolumn park"/>
            </a:rPr>
            <a:t>        </a:t>
          </a:r>
          <a:fld id="{34F31F68-E807-4484-A63B-C00DE17032B8}" type="TxLink">
            <a:rPr lang="en-US" sz="1100" b="1" i="0" u="none" strike="noStrike">
              <a:solidFill>
                <a:srgbClr val="FFFFFF"/>
              </a:solidFill>
              <a:latin typeface="Kolumn park"/>
            </a:rPr>
            <a:pPr algn="l"/>
            <a:t>52.00%</a:t>
          </a:fld>
          <a:endParaRPr lang="en-IN" sz="2000">
            <a:solidFill>
              <a:srgbClr val="FFFFFF"/>
            </a:solidFill>
          </a:endParaRPr>
        </a:p>
      </xdr:txBody>
    </xdr:sp>
    <xdr:clientData/>
  </xdr:twoCellAnchor>
  <xdr:twoCellAnchor>
    <xdr:from>
      <xdr:col>5</xdr:col>
      <xdr:colOff>91440</xdr:colOff>
      <xdr:row>14</xdr:row>
      <xdr:rowOff>100641</xdr:rowOff>
    </xdr:from>
    <xdr:to>
      <xdr:col>7</xdr:col>
      <xdr:colOff>132240</xdr:colOff>
      <xdr:row>21</xdr:row>
      <xdr:rowOff>100440</xdr:rowOff>
    </xdr:to>
    <xdr:sp macro="" textlink="PivotTable!D29">
      <xdr:nvSpPr>
        <xdr:cNvPr id="12" name="Rectangle: Rounded Corners 11">
          <a:extLst>
            <a:ext uri="{FF2B5EF4-FFF2-40B4-BE49-F238E27FC236}">
              <a16:creationId xmlns:a16="http://schemas.microsoft.com/office/drawing/2014/main" id="{AFA0C4F8-BD95-477C-AE1A-B3766F87C41A}"/>
            </a:ext>
          </a:extLst>
        </xdr:cNvPr>
        <xdr:cNvSpPr/>
      </xdr:nvSpPr>
      <xdr:spPr>
        <a:xfrm>
          <a:off x="3146629" y="2616679"/>
          <a:ext cx="1262875" cy="1257818"/>
        </a:xfrm>
        <a:prstGeom prst="roundRect">
          <a:avLst>
            <a:gd name="adj" fmla="val 4390"/>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i="0" u="none" strike="noStrike">
            <a:solidFill>
              <a:srgbClr val="FFFFFF"/>
            </a:solidFill>
            <a:latin typeface="Kolumn park"/>
          </a:endParaRPr>
        </a:p>
        <a:p>
          <a:pPr algn="l"/>
          <a:endParaRPr lang="en-US" sz="1100" b="1" i="0" u="none" strike="noStrike">
            <a:solidFill>
              <a:srgbClr val="FFFFFF"/>
            </a:solidFill>
            <a:latin typeface="Kolumn park"/>
          </a:endParaRPr>
        </a:p>
        <a:p>
          <a:pPr algn="l"/>
          <a:endParaRPr lang="en-US" sz="1100" b="1" i="0" u="none" strike="noStrike">
            <a:solidFill>
              <a:srgbClr val="FFFFFF"/>
            </a:solidFill>
            <a:latin typeface="Kolumn park"/>
          </a:endParaRPr>
        </a:p>
        <a:p>
          <a:pPr algn="l"/>
          <a:r>
            <a:rPr lang="en-US" sz="1100" b="1" i="0" u="none" strike="noStrike" baseline="0">
              <a:solidFill>
                <a:srgbClr val="FFFFFF"/>
              </a:solidFill>
              <a:latin typeface="Kolumn park"/>
            </a:rPr>
            <a:t>       </a:t>
          </a:r>
          <a:fld id="{FD09B9D4-0B23-4091-A801-5B9E041F11A1}" type="TxLink">
            <a:rPr lang="en-US" sz="1100" b="1" i="0" u="none" strike="noStrike">
              <a:solidFill>
                <a:srgbClr val="FFFFFF"/>
              </a:solidFill>
              <a:latin typeface="Kolumn park"/>
            </a:rPr>
            <a:pPr algn="l"/>
            <a:t>48.00%</a:t>
          </a:fld>
          <a:endParaRPr lang="en-IN" sz="2000">
            <a:solidFill>
              <a:srgbClr val="FFFFFF"/>
            </a:solidFill>
          </a:endParaRPr>
        </a:p>
      </xdr:txBody>
    </xdr:sp>
    <xdr:clientData/>
  </xdr:twoCellAnchor>
  <xdr:twoCellAnchor>
    <xdr:from>
      <xdr:col>14</xdr:col>
      <xdr:colOff>167640</xdr:colOff>
      <xdr:row>25</xdr:row>
      <xdr:rowOff>129540</xdr:rowOff>
    </xdr:from>
    <xdr:to>
      <xdr:col>16</xdr:col>
      <xdr:colOff>388440</xdr:colOff>
      <xdr:row>33</xdr:row>
      <xdr:rowOff>106500</xdr:rowOff>
    </xdr:to>
    <xdr:sp macro="" textlink="">
      <xdr:nvSpPr>
        <xdr:cNvPr id="14" name="Rectangle: Rounded Corners 13">
          <a:extLst>
            <a:ext uri="{FF2B5EF4-FFF2-40B4-BE49-F238E27FC236}">
              <a16:creationId xmlns:a16="http://schemas.microsoft.com/office/drawing/2014/main" id="{2D0ADC87-518C-4DFB-AF31-46A96E803C9E}"/>
            </a:ext>
          </a:extLst>
        </xdr:cNvPr>
        <xdr:cNvSpPr/>
      </xdr:nvSpPr>
      <xdr:spPr>
        <a:xfrm>
          <a:off x="8702040" y="4701540"/>
          <a:ext cx="1440000" cy="1440000"/>
        </a:xfrm>
        <a:prstGeom prst="roundRect">
          <a:avLst>
            <a:gd name="adj" fmla="val 4390"/>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lang="en-IN" sz="2000">
              <a:solidFill>
                <a:schemeClr val="lt1"/>
              </a:solidFill>
              <a:effectLst/>
              <a:latin typeface="+mn-lt"/>
              <a:ea typeface="+mn-ea"/>
              <a:cs typeface="+mn-cs"/>
            </a:rPr>
            <a:t>Full Time Employe </a:t>
          </a:r>
          <a:endParaRPr lang="en-IN" sz="2000">
            <a:effectLst/>
          </a:endParaRPr>
        </a:p>
        <a:p>
          <a:r>
            <a:rPr lang="en-IN" sz="1100" b="0">
              <a:solidFill>
                <a:schemeClr val="lt1"/>
              </a:solidFill>
              <a:effectLst/>
              <a:latin typeface="+mn-lt"/>
              <a:ea typeface="+mn-ea"/>
              <a:cs typeface="+mn-cs"/>
            </a:rPr>
            <a:t>       </a:t>
          </a:r>
        </a:p>
        <a:p>
          <a:r>
            <a:rPr lang="en-IN" sz="1100" b="0" baseline="0">
              <a:solidFill>
                <a:schemeClr val="lt1"/>
              </a:solidFill>
              <a:effectLst/>
              <a:latin typeface="+mn-lt"/>
              <a:ea typeface="+mn-ea"/>
              <a:cs typeface="+mn-cs"/>
            </a:rPr>
            <a:t>                               </a:t>
          </a:r>
          <a:r>
            <a:rPr lang="en-IN" sz="3000" b="0" baseline="0">
              <a:solidFill>
                <a:schemeClr val="lt1"/>
              </a:solidFill>
              <a:effectLst/>
              <a:latin typeface="+mn-lt"/>
              <a:ea typeface="+mn-ea"/>
              <a:cs typeface="+mn-cs"/>
            </a:rPr>
            <a:t>20</a:t>
          </a:r>
          <a:endParaRPr lang="en-IN" sz="3000">
            <a:effectLst/>
          </a:endParaRPr>
        </a:p>
        <a:p>
          <a:pPr algn="l"/>
          <a:endParaRPr lang="en-IN" sz="1100"/>
        </a:p>
      </xdr:txBody>
    </xdr:sp>
    <xdr:clientData/>
  </xdr:twoCellAnchor>
  <xdr:twoCellAnchor>
    <xdr:from>
      <xdr:col>11</xdr:col>
      <xdr:colOff>502920</xdr:colOff>
      <xdr:row>25</xdr:row>
      <xdr:rowOff>137160</xdr:rowOff>
    </xdr:from>
    <xdr:to>
      <xdr:col>14</xdr:col>
      <xdr:colOff>114120</xdr:colOff>
      <xdr:row>33</xdr:row>
      <xdr:rowOff>114120</xdr:rowOff>
    </xdr:to>
    <xdr:sp macro="" textlink="">
      <xdr:nvSpPr>
        <xdr:cNvPr id="16" name="Rectangle: Rounded Corners 15">
          <a:extLst>
            <a:ext uri="{FF2B5EF4-FFF2-40B4-BE49-F238E27FC236}">
              <a16:creationId xmlns:a16="http://schemas.microsoft.com/office/drawing/2014/main" id="{0673D7FE-0B0A-43A5-A40A-A73A129BFA19}"/>
            </a:ext>
          </a:extLst>
        </xdr:cNvPr>
        <xdr:cNvSpPr/>
      </xdr:nvSpPr>
      <xdr:spPr>
        <a:xfrm>
          <a:off x="7208520" y="4709160"/>
          <a:ext cx="1440000" cy="1440000"/>
        </a:xfrm>
        <a:prstGeom prst="roundRect">
          <a:avLst>
            <a:gd name="adj" fmla="val 4390"/>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000" b="0">
              <a:solidFill>
                <a:schemeClr val="lt1"/>
              </a:solidFill>
              <a:effectLst/>
              <a:latin typeface="+mn-lt"/>
              <a:ea typeface="+mn-ea"/>
              <a:cs typeface="+mn-cs"/>
            </a:rPr>
            <a:t>Contract         </a:t>
          </a:r>
        </a:p>
        <a:p>
          <a:endParaRPr lang="en-IN" sz="1100" b="0" baseline="0">
            <a:solidFill>
              <a:schemeClr val="lt1"/>
            </a:solidFill>
            <a:effectLst/>
            <a:latin typeface="+mn-lt"/>
            <a:ea typeface="+mn-ea"/>
            <a:cs typeface="+mn-cs"/>
          </a:endParaRPr>
        </a:p>
        <a:p>
          <a:endParaRPr lang="en-IN" sz="1100" b="0" baseline="0">
            <a:solidFill>
              <a:schemeClr val="lt1"/>
            </a:solidFill>
            <a:effectLst/>
            <a:latin typeface="+mn-lt"/>
            <a:ea typeface="+mn-ea"/>
            <a:cs typeface="+mn-cs"/>
          </a:endParaRPr>
        </a:p>
        <a:p>
          <a:r>
            <a:rPr lang="en-IN" sz="3000" b="0">
              <a:solidFill>
                <a:schemeClr val="lt1"/>
              </a:solidFill>
              <a:effectLst/>
              <a:latin typeface="+mn-lt"/>
              <a:ea typeface="+mn-ea"/>
              <a:cs typeface="+mn-cs"/>
            </a:rPr>
            <a:t>           17</a:t>
          </a:r>
          <a:endParaRPr lang="en-IN" sz="3000" b="0" baseline="0">
            <a:solidFill>
              <a:schemeClr val="lt1"/>
            </a:solidFill>
            <a:effectLst/>
            <a:latin typeface="+mn-lt"/>
            <a:ea typeface="+mn-ea"/>
            <a:cs typeface="+mn-cs"/>
          </a:endParaRPr>
        </a:p>
        <a:p>
          <a:r>
            <a:rPr lang="en-IN" sz="3000" b="0" baseline="0">
              <a:solidFill>
                <a:schemeClr val="lt1"/>
              </a:solidFill>
              <a:effectLst/>
              <a:latin typeface="+mn-lt"/>
              <a:ea typeface="+mn-ea"/>
              <a:cs typeface="+mn-cs"/>
            </a:rPr>
            <a:t>                             </a:t>
          </a:r>
          <a:endParaRPr lang="en-IN" sz="3000">
            <a:effectLst/>
          </a:endParaRPr>
        </a:p>
        <a:p>
          <a:pPr algn="l"/>
          <a:endParaRPr lang="en-IN" sz="1100"/>
        </a:p>
      </xdr:txBody>
    </xdr:sp>
    <xdr:clientData/>
  </xdr:twoCellAnchor>
  <xdr:twoCellAnchor>
    <xdr:from>
      <xdr:col>14</xdr:col>
      <xdr:colOff>152400</xdr:colOff>
      <xdr:row>19</xdr:row>
      <xdr:rowOff>60960</xdr:rowOff>
    </xdr:from>
    <xdr:to>
      <xdr:col>16</xdr:col>
      <xdr:colOff>373200</xdr:colOff>
      <xdr:row>24</xdr:row>
      <xdr:rowOff>114300</xdr:rowOff>
    </xdr:to>
    <xdr:sp macro="" textlink="">
      <xdr:nvSpPr>
        <xdr:cNvPr id="17" name="Rectangle: Rounded Corners 16">
          <a:extLst>
            <a:ext uri="{FF2B5EF4-FFF2-40B4-BE49-F238E27FC236}">
              <a16:creationId xmlns:a16="http://schemas.microsoft.com/office/drawing/2014/main" id="{54D95398-9F19-4710-A19E-41AA555A42A2}"/>
            </a:ext>
          </a:extLst>
        </xdr:cNvPr>
        <xdr:cNvSpPr/>
      </xdr:nvSpPr>
      <xdr:spPr>
        <a:xfrm>
          <a:off x="8686800" y="3535680"/>
          <a:ext cx="1440000" cy="967740"/>
        </a:xfrm>
        <a:prstGeom prst="roundRect">
          <a:avLst>
            <a:gd name="adj" fmla="val 4390"/>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300">
              <a:solidFill>
                <a:schemeClr val="lt1"/>
              </a:solidFill>
              <a:effectLst/>
              <a:latin typeface="+mn-lt"/>
              <a:ea typeface="+mn-ea"/>
              <a:cs typeface="+mn-cs"/>
            </a:rPr>
            <a:t>Part Time Employe </a:t>
          </a:r>
          <a:endParaRPr lang="en-IN" sz="1300">
            <a:effectLst/>
          </a:endParaRPr>
        </a:p>
        <a:p>
          <a:pPr algn="l"/>
          <a:endParaRPr lang="en-IN" sz="1100"/>
        </a:p>
        <a:p>
          <a:pPr algn="l"/>
          <a:r>
            <a:rPr lang="en-IN" sz="3000" b="0"/>
            <a:t>         </a:t>
          </a:r>
          <a:r>
            <a:rPr lang="en-IN" sz="3000" b="0" baseline="0"/>
            <a:t>  </a:t>
          </a:r>
          <a:r>
            <a:rPr lang="en-IN" sz="3000" b="0"/>
            <a:t>13</a:t>
          </a:r>
        </a:p>
      </xdr:txBody>
    </xdr:sp>
    <xdr:clientData/>
  </xdr:twoCellAnchor>
  <xdr:twoCellAnchor>
    <xdr:from>
      <xdr:col>12</xdr:col>
      <xdr:colOff>90147</xdr:colOff>
      <xdr:row>8</xdr:row>
      <xdr:rowOff>61823</xdr:rowOff>
    </xdr:from>
    <xdr:to>
      <xdr:col>16</xdr:col>
      <xdr:colOff>387747</xdr:colOff>
      <xdr:row>17</xdr:row>
      <xdr:rowOff>71903</xdr:rowOff>
    </xdr:to>
    <xdr:sp macro="" textlink="">
      <xdr:nvSpPr>
        <xdr:cNvPr id="18" name="Rectangle: Rounded Corners 17">
          <a:extLst>
            <a:ext uri="{FF2B5EF4-FFF2-40B4-BE49-F238E27FC236}">
              <a16:creationId xmlns:a16="http://schemas.microsoft.com/office/drawing/2014/main" id="{5F08799D-53C6-4598-A355-F0C485A0F76B}"/>
            </a:ext>
          </a:extLst>
        </xdr:cNvPr>
        <xdr:cNvSpPr/>
      </xdr:nvSpPr>
      <xdr:spPr>
        <a:xfrm>
          <a:off x="7422600" y="1499559"/>
          <a:ext cx="2741751" cy="1627533"/>
        </a:xfrm>
        <a:prstGeom prst="roundRect">
          <a:avLst>
            <a:gd name="adj" fmla="val 10832"/>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60960</xdr:colOff>
      <xdr:row>0</xdr:row>
      <xdr:rowOff>0</xdr:rowOff>
    </xdr:from>
    <xdr:to>
      <xdr:col>16</xdr:col>
      <xdr:colOff>358560</xdr:colOff>
      <xdr:row>8</xdr:row>
      <xdr:rowOff>38100</xdr:rowOff>
    </xdr:to>
    <xdr:sp macro="" textlink="PivotTable!K67">
      <xdr:nvSpPr>
        <xdr:cNvPr id="19" name="Rectangle: Rounded Corners 18">
          <a:extLst>
            <a:ext uri="{FF2B5EF4-FFF2-40B4-BE49-F238E27FC236}">
              <a16:creationId xmlns:a16="http://schemas.microsoft.com/office/drawing/2014/main" id="{4F308031-7D95-491F-AB67-48E56896323F}"/>
            </a:ext>
          </a:extLst>
        </xdr:cNvPr>
        <xdr:cNvSpPr/>
      </xdr:nvSpPr>
      <xdr:spPr>
        <a:xfrm>
          <a:off x="7393413" y="0"/>
          <a:ext cx="2741751" cy="1475836"/>
        </a:xfrm>
        <a:prstGeom prst="roundRect">
          <a:avLst>
            <a:gd name="adj" fmla="val 16416"/>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b="0" i="0" u="none" strike="noStrike">
            <a:solidFill>
              <a:srgbClr val="FFFFFF"/>
            </a:solidFill>
            <a:latin typeface="Aptos Narrow"/>
          </a:endParaRPr>
        </a:p>
        <a:p>
          <a:pPr algn="l"/>
          <a:r>
            <a:rPr lang="en-US" sz="2500" b="0" i="0" u="none" strike="noStrike">
              <a:solidFill>
                <a:srgbClr val="FFFFFF"/>
              </a:solidFill>
              <a:latin typeface="Aptos Narrow"/>
            </a:rPr>
            <a:t>2.6</a:t>
          </a:r>
        </a:p>
        <a:p>
          <a:pPr algn="l"/>
          <a:r>
            <a:rPr lang="en-US" sz="1500" b="0" i="0" u="none" strike="noStrike">
              <a:solidFill>
                <a:srgbClr val="FFFFFF"/>
              </a:solidFill>
              <a:latin typeface="Aptos Narrow"/>
            </a:rPr>
            <a:t>Average Ratting </a:t>
          </a:r>
          <a:endParaRPr lang="en-IN" sz="1500">
            <a:solidFill>
              <a:srgbClr val="FFFFFF"/>
            </a:solidFill>
          </a:endParaRPr>
        </a:p>
      </xdr:txBody>
    </xdr:sp>
    <xdr:clientData/>
  </xdr:twoCellAnchor>
  <xdr:oneCellAnchor>
    <xdr:from>
      <xdr:col>19</xdr:col>
      <xdr:colOff>556260</xdr:colOff>
      <xdr:row>16</xdr:row>
      <xdr:rowOff>129540</xdr:rowOff>
    </xdr:from>
    <xdr:ext cx="184731" cy="264560"/>
    <xdr:sp macro="" textlink="">
      <xdr:nvSpPr>
        <xdr:cNvPr id="20" name="TextBox 19">
          <a:extLst>
            <a:ext uri="{FF2B5EF4-FFF2-40B4-BE49-F238E27FC236}">
              <a16:creationId xmlns:a16="http://schemas.microsoft.com/office/drawing/2014/main" id="{2BB0DFE3-9DC4-2FD2-FC00-3AF408E8B991}"/>
            </a:ext>
          </a:extLst>
        </xdr:cNvPr>
        <xdr:cNvSpPr txBox="1"/>
      </xdr:nvSpPr>
      <xdr:spPr>
        <a:xfrm>
          <a:off x="12138660" y="3055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solidFill>
              <a:schemeClr val="tx2">
                <a:lumMod val="10000"/>
                <a:lumOff val="90000"/>
              </a:schemeClr>
            </a:solidFill>
          </a:endParaRPr>
        </a:p>
      </xdr:txBody>
    </xdr:sp>
    <xdr:clientData/>
  </xdr:oneCellAnchor>
  <xdr:twoCellAnchor editAs="oneCell">
    <xdr:from>
      <xdr:col>12</xdr:col>
      <xdr:colOff>274320</xdr:colOff>
      <xdr:row>17</xdr:row>
      <xdr:rowOff>99060</xdr:rowOff>
    </xdr:from>
    <xdr:to>
      <xdr:col>16</xdr:col>
      <xdr:colOff>128215</xdr:colOff>
      <xdr:row>19</xdr:row>
      <xdr:rowOff>141767</xdr:rowOff>
    </xdr:to>
    <xdr:pic>
      <xdr:nvPicPr>
        <xdr:cNvPr id="1051" name="Picture 1050">
          <a:extLst>
            <a:ext uri="{FF2B5EF4-FFF2-40B4-BE49-F238E27FC236}">
              <a16:creationId xmlns:a16="http://schemas.microsoft.com/office/drawing/2014/main" id="{E158DEAD-AE49-3905-C444-FBD3DD510816}"/>
            </a:ext>
          </a:extLst>
        </xdr:cNvPr>
        <xdr:cNvPicPr>
          <a:picLocks noChangeAspect="1"/>
        </xdr:cNvPicPr>
      </xdr:nvPicPr>
      <xdr:blipFill>
        <a:blip xmlns:r="http://schemas.openxmlformats.org/officeDocument/2006/relationships" r:embed="rId1"/>
        <a:stretch>
          <a:fillRect/>
        </a:stretch>
      </xdr:blipFill>
      <xdr:spPr>
        <a:xfrm>
          <a:off x="7589520" y="3208020"/>
          <a:ext cx="2292295" cy="408467"/>
        </a:xfrm>
        <a:prstGeom prst="rect">
          <a:avLst/>
        </a:prstGeom>
      </xdr:spPr>
    </xdr:pic>
    <xdr:clientData/>
  </xdr:twoCellAnchor>
  <xdr:twoCellAnchor>
    <xdr:from>
      <xdr:col>10</xdr:col>
      <xdr:colOff>601980</xdr:colOff>
      <xdr:row>17</xdr:row>
      <xdr:rowOff>7620</xdr:rowOff>
    </xdr:from>
    <xdr:to>
      <xdr:col>14</xdr:col>
      <xdr:colOff>502920</xdr:colOff>
      <xdr:row>26</xdr:row>
      <xdr:rowOff>45720</xdr:rowOff>
    </xdr:to>
    <xdr:graphicFrame macro="">
      <xdr:nvGraphicFramePr>
        <xdr:cNvPr id="1052" name="Chart 1051">
          <a:extLst>
            <a:ext uri="{FF2B5EF4-FFF2-40B4-BE49-F238E27FC236}">
              <a16:creationId xmlns:a16="http://schemas.microsoft.com/office/drawing/2014/main" id="{02A99F0E-98B0-4E2C-BE9E-27BBA9D37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38100</xdr:colOff>
      <xdr:row>20</xdr:row>
      <xdr:rowOff>152400</xdr:rowOff>
    </xdr:from>
    <xdr:to>
      <xdr:col>16</xdr:col>
      <xdr:colOff>259080</xdr:colOff>
      <xdr:row>22</xdr:row>
      <xdr:rowOff>0</xdr:rowOff>
    </xdr:to>
    <xdr:sp macro="" textlink="">
      <xdr:nvSpPr>
        <xdr:cNvPr id="1053" name="Flowchart: Connector 1052">
          <a:extLst>
            <a:ext uri="{FF2B5EF4-FFF2-40B4-BE49-F238E27FC236}">
              <a16:creationId xmlns:a16="http://schemas.microsoft.com/office/drawing/2014/main" id="{A37EA8A5-10FE-D712-3AF9-0FF835CAB952}"/>
            </a:ext>
          </a:extLst>
        </xdr:cNvPr>
        <xdr:cNvSpPr/>
      </xdr:nvSpPr>
      <xdr:spPr>
        <a:xfrm>
          <a:off x="9791700" y="3810000"/>
          <a:ext cx="220980" cy="213360"/>
        </a:xfrm>
        <a:prstGeom prst="flowChartConnector">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297180</xdr:colOff>
      <xdr:row>28</xdr:row>
      <xdr:rowOff>60960</xdr:rowOff>
    </xdr:from>
    <xdr:to>
      <xdr:col>13</xdr:col>
      <xdr:colOff>518160</xdr:colOff>
      <xdr:row>29</xdr:row>
      <xdr:rowOff>91440</xdr:rowOff>
    </xdr:to>
    <xdr:sp macro="" textlink="">
      <xdr:nvSpPr>
        <xdr:cNvPr id="1054" name="Flowchart: Connector 1053">
          <a:extLst>
            <a:ext uri="{FF2B5EF4-FFF2-40B4-BE49-F238E27FC236}">
              <a16:creationId xmlns:a16="http://schemas.microsoft.com/office/drawing/2014/main" id="{C2DD8536-97BE-4178-9A04-44189D589A5E}"/>
            </a:ext>
          </a:extLst>
        </xdr:cNvPr>
        <xdr:cNvSpPr/>
      </xdr:nvSpPr>
      <xdr:spPr>
        <a:xfrm>
          <a:off x="8221980" y="5181600"/>
          <a:ext cx="220980" cy="213360"/>
        </a:xfrm>
        <a:prstGeom prst="flowChartConnector">
          <a:avLst/>
        </a:prstGeom>
        <a:solidFill>
          <a:srgbClr val="FFD24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FF00"/>
            </a:solidFill>
          </a:endParaRPr>
        </a:p>
      </xdr:txBody>
    </xdr:sp>
    <xdr:clientData/>
  </xdr:twoCellAnchor>
  <xdr:twoCellAnchor>
    <xdr:from>
      <xdr:col>16</xdr:col>
      <xdr:colOff>15240</xdr:colOff>
      <xdr:row>29</xdr:row>
      <xdr:rowOff>0</xdr:rowOff>
    </xdr:from>
    <xdr:to>
      <xdr:col>16</xdr:col>
      <xdr:colOff>236220</xdr:colOff>
      <xdr:row>30</xdr:row>
      <xdr:rowOff>30480</xdr:rowOff>
    </xdr:to>
    <xdr:sp macro="" textlink="">
      <xdr:nvSpPr>
        <xdr:cNvPr id="1055" name="Flowchart: Connector 1054">
          <a:extLst>
            <a:ext uri="{FF2B5EF4-FFF2-40B4-BE49-F238E27FC236}">
              <a16:creationId xmlns:a16="http://schemas.microsoft.com/office/drawing/2014/main" id="{7D494F9B-9BF8-4066-9FBE-BEBF6FBB52B2}"/>
            </a:ext>
          </a:extLst>
        </xdr:cNvPr>
        <xdr:cNvSpPr/>
      </xdr:nvSpPr>
      <xdr:spPr>
        <a:xfrm>
          <a:off x="9768840" y="5303520"/>
          <a:ext cx="220980" cy="213360"/>
        </a:xfrm>
        <a:prstGeom prst="flowChartConnector">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160020</xdr:colOff>
      <xdr:row>21</xdr:row>
      <xdr:rowOff>121920</xdr:rowOff>
    </xdr:from>
    <xdr:to>
      <xdr:col>7</xdr:col>
      <xdr:colOff>76200</xdr:colOff>
      <xdr:row>33</xdr:row>
      <xdr:rowOff>60960</xdr:rowOff>
    </xdr:to>
    <xdr:graphicFrame macro="">
      <xdr:nvGraphicFramePr>
        <xdr:cNvPr id="1056" name="Chart 1055">
          <a:extLst>
            <a:ext uri="{FF2B5EF4-FFF2-40B4-BE49-F238E27FC236}">
              <a16:creationId xmlns:a16="http://schemas.microsoft.com/office/drawing/2014/main" id="{9422BAB1-C2F3-484B-9745-C414803D7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26</xdr:row>
      <xdr:rowOff>15240</xdr:rowOff>
    </xdr:from>
    <xdr:to>
      <xdr:col>2</xdr:col>
      <xdr:colOff>251460</xdr:colOff>
      <xdr:row>28</xdr:row>
      <xdr:rowOff>137160</xdr:rowOff>
    </xdr:to>
    <xdr:graphicFrame macro="">
      <xdr:nvGraphicFramePr>
        <xdr:cNvPr id="1061" name="Chart 1060">
          <a:extLst>
            <a:ext uri="{FF2B5EF4-FFF2-40B4-BE49-F238E27FC236}">
              <a16:creationId xmlns:a16="http://schemas.microsoft.com/office/drawing/2014/main" id="{4A652721-2072-4D98-8B8C-E63B06CF3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114300</xdr:rowOff>
    </xdr:from>
    <xdr:to>
      <xdr:col>2</xdr:col>
      <xdr:colOff>236220</xdr:colOff>
      <xdr:row>31</xdr:row>
      <xdr:rowOff>99060</xdr:rowOff>
    </xdr:to>
    <xdr:graphicFrame macro="">
      <xdr:nvGraphicFramePr>
        <xdr:cNvPr id="1062" name="Chart 1061">
          <a:extLst>
            <a:ext uri="{FF2B5EF4-FFF2-40B4-BE49-F238E27FC236}">
              <a16:creationId xmlns:a16="http://schemas.microsoft.com/office/drawing/2014/main" id="{9A8B027A-7FE0-4F1B-8E88-8D141BB15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31</xdr:row>
      <xdr:rowOff>0</xdr:rowOff>
    </xdr:from>
    <xdr:to>
      <xdr:col>2</xdr:col>
      <xdr:colOff>228600</xdr:colOff>
      <xdr:row>33</xdr:row>
      <xdr:rowOff>60960</xdr:rowOff>
    </xdr:to>
    <xdr:graphicFrame macro="">
      <xdr:nvGraphicFramePr>
        <xdr:cNvPr id="1063" name="Chart 1062">
          <a:extLst>
            <a:ext uri="{FF2B5EF4-FFF2-40B4-BE49-F238E27FC236}">
              <a16:creationId xmlns:a16="http://schemas.microsoft.com/office/drawing/2014/main" id="{A4A6F404-E612-4149-8B69-926C4F9AF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419100</xdr:colOff>
      <xdr:row>25</xdr:row>
      <xdr:rowOff>106680</xdr:rowOff>
    </xdr:from>
    <xdr:to>
      <xdr:col>1</xdr:col>
      <xdr:colOff>461829</xdr:colOff>
      <xdr:row>27</xdr:row>
      <xdr:rowOff>39650</xdr:rowOff>
    </xdr:to>
    <xdr:pic>
      <xdr:nvPicPr>
        <xdr:cNvPr id="2" name="Picture 1">
          <a:extLst>
            <a:ext uri="{FF2B5EF4-FFF2-40B4-BE49-F238E27FC236}">
              <a16:creationId xmlns:a16="http://schemas.microsoft.com/office/drawing/2014/main" id="{DEEA5758-F094-560C-E445-8E39E8021A17}"/>
            </a:ext>
          </a:extLst>
        </xdr:cNvPr>
        <xdr:cNvPicPr>
          <a:picLocks noChangeAspect="1"/>
        </xdr:cNvPicPr>
      </xdr:nvPicPr>
      <xdr:blipFill>
        <a:blip xmlns:r="http://schemas.openxmlformats.org/officeDocument/2006/relationships" r:embed="rId7"/>
        <a:stretch>
          <a:fillRect/>
        </a:stretch>
      </xdr:blipFill>
      <xdr:spPr>
        <a:xfrm>
          <a:off x="419100" y="4678680"/>
          <a:ext cx="652329" cy="298730"/>
        </a:xfrm>
        <a:prstGeom prst="rect">
          <a:avLst/>
        </a:prstGeom>
      </xdr:spPr>
    </xdr:pic>
    <xdr:clientData/>
  </xdr:twoCellAnchor>
  <xdr:twoCellAnchor editAs="oneCell">
    <xdr:from>
      <xdr:col>0</xdr:col>
      <xdr:colOff>419100</xdr:colOff>
      <xdr:row>27</xdr:row>
      <xdr:rowOff>175260</xdr:rowOff>
    </xdr:from>
    <xdr:to>
      <xdr:col>2</xdr:col>
      <xdr:colOff>114379</xdr:colOff>
      <xdr:row>29</xdr:row>
      <xdr:rowOff>108230</xdr:rowOff>
    </xdr:to>
    <xdr:pic>
      <xdr:nvPicPr>
        <xdr:cNvPr id="15" name="Picture 14">
          <a:extLst>
            <a:ext uri="{FF2B5EF4-FFF2-40B4-BE49-F238E27FC236}">
              <a16:creationId xmlns:a16="http://schemas.microsoft.com/office/drawing/2014/main" id="{E232D1E6-33AB-3036-3426-16CFA4297B40}"/>
            </a:ext>
          </a:extLst>
        </xdr:cNvPr>
        <xdr:cNvPicPr>
          <a:picLocks noChangeAspect="1"/>
        </xdr:cNvPicPr>
      </xdr:nvPicPr>
      <xdr:blipFill>
        <a:blip xmlns:r="http://schemas.openxmlformats.org/officeDocument/2006/relationships" r:embed="rId8"/>
        <a:stretch>
          <a:fillRect/>
        </a:stretch>
      </xdr:blipFill>
      <xdr:spPr>
        <a:xfrm>
          <a:off x="419100" y="5113020"/>
          <a:ext cx="914479" cy="298730"/>
        </a:xfrm>
        <a:prstGeom prst="rect">
          <a:avLst/>
        </a:prstGeom>
      </xdr:spPr>
    </xdr:pic>
    <xdr:clientData/>
  </xdr:twoCellAnchor>
  <xdr:twoCellAnchor editAs="oneCell">
    <xdr:from>
      <xdr:col>0</xdr:col>
      <xdr:colOff>426720</xdr:colOff>
      <xdr:row>30</xdr:row>
      <xdr:rowOff>99060</xdr:rowOff>
    </xdr:from>
    <xdr:to>
      <xdr:col>1</xdr:col>
      <xdr:colOff>518160</xdr:colOff>
      <xdr:row>32</xdr:row>
      <xdr:rowOff>14866</xdr:rowOff>
    </xdr:to>
    <xdr:pic>
      <xdr:nvPicPr>
        <xdr:cNvPr id="21" name="Picture 20">
          <a:extLst>
            <a:ext uri="{FF2B5EF4-FFF2-40B4-BE49-F238E27FC236}">
              <a16:creationId xmlns:a16="http://schemas.microsoft.com/office/drawing/2014/main" id="{DA71D50C-A1BE-0A89-3A21-BAB729FB17E3}"/>
            </a:ext>
          </a:extLst>
        </xdr:cNvPr>
        <xdr:cNvPicPr>
          <a:picLocks noChangeAspect="1"/>
        </xdr:cNvPicPr>
      </xdr:nvPicPr>
      <xdr:blipFill>
        <a:blip xmlns:r="http://schemas.openxmlformats.org/officeDocument/2006/relationships" r:embed="rId9"/>
        <a:stretch>
          <a:fillRect/>
        </a:stretch>
      </xdr:blipFill>
      <xdr:spPr>
        <a:xfrm>
          <a:off x="426720" y="5585460"/>
          <a:ext cx="701040" cy="281566"/>
        </a:xfrm>
        <a:prstGeom prst="rect">
          <a:avLst/>
        </a:prstGeom>
      </xdr:spPr>
    </xdr:pic>
    <xdr:clientData/>
  </xdr:twoCellAnchor>
  <xdr:twoCellAnchor editAs="oneCell">
    <xdr:from>
      <xdr:col>0</xdr:col>
      <xdr:colOff>0</xdr:colOff>
      <xdr:row>22</xdr:row>
      <xdr:rowOff>7620</xdr:rowOff>
    </xdr:from>
    <xdr:to>
      <xdr:col>2</xdr:col>
      <xdr:colOff>134229</xdr:colOff>
      <xdr:row>24</xdr:row>
      <xdr:rowOff>50327</xdr:rowOff>
    </xdr:to>
    <xdr:pic>
      <xdr:nvPicPr>
        <xdr:cNvPr id="33" name="Picture 32">
          <a:extLst>
            <a:ext uri="{FF2B5EF4-FFF2-40B4-BE49-F238E27FC236}">
              <a16:creationId xmlns:a16="http://schemas.microsoft.com/office/drawing/2014/main" id="{FB3E4D54-DCAB-BF55-52C8-43C99DB862D5}"/>
            </a:ext>
          </a:extLst>
        </xdr:cNvPr>
        <xdr:cNvPicPr>
          <a:picLocks noChangeAspect="1"/>
        </xdr:cNvPicPr>
      </xdr:nvPicPr>
      <xdr:blipFill>
        <a:blip xmlns:r="http://schemas.openxmlformats.org/officeDocument/2006/relationships" r:embed="rId10"/>
        <a:stretch>
          <a:fillRect/>
        </a:stretch>
      </xdr:blipFill>
      <xdr:spPr>
        <a:xfrm>
          <a:off x="0" y="4030980"/>
          <a:ext cx="1353429" cy="408467"/>
        </a:xfrm>
        <a:prstGeom prst="rect">
          <a:avLst/>
        </a:prstGeom>
      </xdr:spPr>
    </xdr:pic>
    <xdr:clientData/>
  </xdr:twoCellAnchor>
  <xdr:twoCellAnchor editAs="oneCell">
    <xdr:from>
      <xdr:col>0</xdr:col>
      <xdr:colOff>0</xdr:colOff>
      <xdr:row>23</xdr:row>
      <xdr:rowOff>45720</xdr:rowOff>
    </xdr:from>
    <xdr:to>
      <xdr:col>3</xdr:col>
      <xdr:colOff>176958</xdr:colOff>
      <xdr:row>25</xdr:row>
      <xdr:rowOff>88427</xdr:rowOff>
    </xdr:to>
    <xdr:pic>
      <xdr:nvPicPr>
        <xdr:cNvPr id="34" name="Picture 33">
          <a:extLst>
            <a:ext uri="{FF2B5EF4-FFF2-40B4-BE49-F238E27FC236}">
              <a16:creationId xmlns:a16="http://schemas.microsoft.com/office/drawing/2014/main" id="{DD045B84-2E1B-96FD-4FC6-0DA3E5EEA1E9}"/>
            </a:ext>
          </a:extLst>
        </xdr:cNvPr>
        <xdr:cNvPicPr>
          <a:picLocks noChangeAspect="1"/>
        </xdr:cNvPicPr>
      </xdr:nvPicPr>
      <xdr:blipFill>
        <a:blip xmlns:r="http://schemas.openxmlformats.org/officeDocument/2006/relationships" r:embed="rId11"/>
        <a:stretch>
          <a:fillRect/>
        </a:stretch>
      </xdr:blipFill>
      <xdr:spPr>
        <a:xfrm>
          <a:off x="0" y="4251960"/>
          <a:ext cx="2005758" cy="408467"/>
        </a:xfrm>
        <a:prstGeom prst="rect">
          <a:avLst/>
        </a:prstGeom>
      </xdr:spPr>
    </xdr:pic>
    <xdr:clientData/>
  </xdr:twoCellAnchor>
  <xdr:twoCellAnchor editAs="oneCell">
    <xdr:from>
      <xdr:col>1</xdr:col>
      <xdr:colOff>518160</xdr:colOff>
      <xdr:row>22</xdr:row>
      <xdr:rowOff>15240</xdr:rowOff>
    </xdr:from>
    <xdr:to>
      <xdr:col>2</xdr:col>
      <xdr:colOff>189000</xdr:colOff>
      <xdr:row>24</xdr:row>
      <xdr:rowOff>57947</xdr:rowOff>
    </xdr:to>
    <xdr:pic>
      <xdr:nvPicPr>
        <xdr:cNvPr id="35" name="Picture 34">
          <a:extLst>
            <a:ext uri="{FF2B5EF4-FFF2-40B4-BE49-F238E27FC236}">
              <a16:creationId xmlns:a16="http://schemas.microsoft.com/office/drawing/2014/main" id="{0E419F87-3952-1FFE-14F9-C2077B56DB70}"/>
            </a:ext>
          </a:extLst>
        </xdr:cNvPr>
        <xdr:cNvPicPr>
          <a:picLocks noChangeAspect="1"/>
        </xdr:cNvPicPr>
      </xdr:nvPicPr>
      <xdr:blipFill>
        <a:blip xmlns:r="http://schemas.openxmlformats.org/officeDocument/2006/relationships" r:embed="rId12"/>
        <a:stretch>
          <a:fillRect/>
        </a:stretch>
      </xdr:blipFill>
      <xdr:spPr>
        <a:xfrm>
          <a:off x="1127760" y="4038600"/>
          <a:ext cx="280440" cy="408467"/>
        </a:xfrm>
        <a:prstGeom prst="rect">
          <a:avLst/>
        </a:prstGeom>
      </xdr:spPr>
    </xdr:pic>
    <xdr:clientData/>
  </xdr:twoCellAnchor>
  <xdr:twoCellAnchor editAs="oneCell">
    <xdr:from>
      <xdr:col>0</xdr:col>
      <xdr:colOff>0</xdr:colOff>
      <xdr:row>13</xdr:row>
      <xdr:rowOff>160020</xdr:rowOff>
    </xdr:from>
    <xdr:to>
      <xdr:col>3</xdr:col>
      <xdr:colOff>159</xdr:colOff>
      <xdr:row>22</xdr:row>
      <xdr:rowOff>106680</xdr:rowOff>
    </xdr:to>
    <xdr:pic>
      <xdr:nvPicPr>
        <xdr:cNvPr id="53" name="Picture 52">
          <a:extLst>
            <a:ext uri="{FF2B5EF4-FFF2-40B4-BE49-F238E27FC236}">
              <a16:creationId xmlns:a16="http://schemas.microsoft.com/office/drawing/2014/main" id="{C4C389B3-2372-17E7-318D-CBE0C68FDB47}"/>
            </a:ext>
          </a:extLst>
        </xdr:cNvPr>
        <xdr:cNvPicPr>
          <a:picLocks noChangeAspect="1"/>
        </xdr:cNvPicPr>
      </xdr:nvPicPr>
      <xdr:blipFill>
        <a:blip xmlns:r="http://schemas.openxmlformats.org/officeDocument/2006/relationships" r:embed="rId13"/>
        <a:stretch>
          <a:fillRect/>
        </a:stretch>
      </xdr:blipFill>
      <xdr:spPr>
        <a:xfrm>
          <a:off x="0" y="2537460"/>
          <a:ext cx="1828959" cy="1592580"/>
        </a:xfrm>
        <a:prstGeom prst="rect">
          <a:avLst/>
        </a:prstGeom>
      </xdr:spPr>
    </xdr:pic>
    <xdr:clientData/>
  </xdr:twoCellAnchor>
  <xdr:twoCellAnchor editAs="oneCell">
    <xdr:from>
      <xdr:col>0</xdr:col>
      <xdr:colOff>1</xdr:colOff>
      <xdr:row>11</xdr:row>
      <xdr:rowOff>114300</xdr:rowOff>
    </xdr:from>
    <xdr:to>
      <xdr:col>3</xdr:col>
      <xdr:colOff>76201</xdr:colOff>
      <xdr:row>14</xdr:row>
      <xdr:rowOff>114348</xdr:rowOff>
    </xdr:to>
    <xdr:pic>
      <xdr:nvPicPr>
        <xdr:cNvPr id="54" name="Picture 53">
          <a:extLst>
            <a:ext uri="{FF2B5EF4-FFF2-40B4-BE49-F238E27FC236}">
              <a16:creationId xmlns:a16="http://schemas.microsoft.com/office/drawing/2014/main" id="{698CA140-FA13-D110-8629-73A03D79FED2}"/>
            </a:ext>
          </a:extLst>
        </xdr:cNvPr>
        <xdr:cNvPicPr>
          <a:picLocks noChangeAspect="1"/>
        </xdr:cNvPicPr>
      </xdr:nvPicPr>
      <xdr:blipFill>
        <a:blip xmlns:r="http://schemas.openxmlformats.org/officeDocument/2006/relationships" r:embed="rId14"/>
        <a:stretch>
          <a:fillRect/>
        </a:stretch>
      </xdr:blipFill>
      <xdr:spPr>
        <a:xfrm>
          <a:off x="1" y="2125980"/>
          <a:ext cx="1905000" cy="548688"/>
        </a:xfrm>
        <a:prstGeom prst="rect">
          <a:avLst/>
        </a:prstGeom>
      </xdr:spPr>
    </xdr:pic>
    <xdr:clientData/>
  </xdr:twoCellAnchor>
  <xdr:twoCellAnchor editAs="oneCell">
    <xdr:from>
      <xdr:col>0</xdr:col>
      <xdr:colOff>419100</xdr:colOff>
      <xdr:row>7</xdr:row>
      <xdr:rowOff>53340</xdr:rowOff>
    </xdr:from>
    <xdr:to>
      <xdr:col>2</xdr:col>
      <xdr:colOff>114300</xdr:colOff>
      <xdr:row>12</xdr:row>
      <xdr:rowOff>53340</xdr:rowOff>
    </xdr:to>
    <xdr:pic>
      <xdr:nvPicPr>
        <xdr:cNvPr id="57" name="Graphic 56" descr="Children with solid fill">
          <a:extLst>
            <a:ext uri="{FF2B5EF4-FFF2-40B4-BE49-F238E27FC236}">
              <a16:creationId xmlns:a16="http://schemas.microsoft.com/office/drawing/2014/main" id="{C736B2BC-E2D6-4A88-96E8-0B4E6F24B1B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419100" y="1333500"/>
          <a:ext cx="914400" cy="914400"/>
        </a:xfrm>
        <a:prstGeom prst="rect">
          <a:avLst/>
        </a:prstGeom>
      </xdr:spPr>
    </xdr:pic>
    <xdr:clientData/>
  </xdr:twoCellAnchor>
  <xdr:twoCellAnchor editAs="oneCell">
    <xdr:from>
      <xdr:col>3</xdr:col>
      <xdr:colOff>8482</xdr:colOff>
      <xdr:row>7</xdr:row>
      <xdr:rowOff>143058</xdr:rowOff>
    </xdr:from>
    <xdr:to>
      <xdr:col>5</xdr:col>
      <xdr:colOff>557122</xdr:colOff>
      <xdr:row>9</xdr:row>
      <xdr:rowOff>158298</xdr:rowOff>
    </xdr:to>
    <xdr:pic>
      <xdr:nvPicPr>
        <xdr:cNvPr id="60" name="Picture 59">
          <a:extLst>
            <a:ext uri="{FF2B5EF4-FFF2-40B4-BE49-F238E27FC236}">
              <a16:creationId xmlns:a16="http://schemas.microsoft.com/office/drawing/2014/main" id="{BF5FA84B-E7D0-6E97-97E2-B53E5F22FE27}"/>
            </a:ext>
          </a:extLst>
        </xdr:cNvPr>
        <xdr:cNvPicPr>
          <a:picLocks noChangeAspect="1"/>
        </xdr:cNvPicPr>
      </xdr:nvPicPr>
      <xdr:blipFill>
        <a:blip xmlns:r="http://schemas.openxmlformats.org/officeDocument/2006/relationships" r:embed="rId17"/>
        <a:stretch>
          <a:fillRect/>
        </a:stretch>
      </xdr:blipFill>
      <xdr:spPr>
        <a:xfrm>
          <a:off x="1841595" y="1401077"/>
          <a:ext cx="1770716" cy="374674"/>
        </a:xfrm>
        <a:prstGeom prst="rect">
          <a:avLst/>
        </a:prstGeom>
      </xdr:spPr>
    </xdr:pic>
    <xdr:clientData/>
  </xdr:twoCellAnchor>
  <xdr:twoCellAnchor editAs="oneCell">
    <xdr:from>
      <xdr:col>2</xdr:col>
      <xdr:colOff>594360</xdr:colOff>
      <xdr:row>11</xdr:row>
      <xdr:rowOff>23434</xdr:rowOff>
    </xdr:from>
    <xdr:to>
      <xdr:col>5</xdr:col>
      <xdr:colOff>586740</xdr:colOff>
      <xdr:row>14</xdr:row>
      <xdr:rowOff>23482</xdr:rowOff>
    </xdr:to>
    <xdr:pic>
      <xdr:nvPicPr>
        <xdr:cNvPr id="61" name="Picture 60">
          <a:extLst>
            <a:ext uri="{FF2B5EF4-FFF2-40B4-BE49-F238E27FC236}">
              <a16:creationId xmlns:a16="http://schemas.microsoft.com/office/drawing/2014/main" id="{ECFE2EFB-5855-1CC5-C95D-B9D156C69AAD}"/>
            </a:ext>
          </a:extLst>
        </xdr:cNvPr>
        <xdr:cNvPicPr>
          <a:picLocks noChangeAspect="1"/>
        </xdr:cNvPicPr>
      </xdr:nvPicPr>
      <xdr:blipFill>
        <a:blip xmlns:r="http://schemas.openxmlformats.org/officeDocument/2006/relationships" r:embed="rId18"/>
        <a:stretch>
          <a:fillRect/>
        </a:stretch>
      </xdr:blipFill>
      <xdr:spPr>
        <a:xfrm>
          <a:off x="1816435" y="2000321"/>
          <a:ext cx="1825494" cy="539199"/>
        </a:xfrm>
        <a:prstGeom prst="rect">
          <a:avLst/>
        </a:prstGeom>
      </xdr:spPr>
    </xdr:pic>
    <xdr:clientData/>
  </xdr:twoCellAnchor>
  <xdr:twoCellAnchor editAs="oneCell">
    <xdr:from>
      <xdr:col>5</xdr:col>
      <xdr:colOff>510540</xdr:colOff>
      <xdr:row>8</xdr:row>
      <xdr:rowOff>38100</xdr:rowOff>
    </xdr:from>
    <xdr:to>
      <xdr:col>7</xdr:col>
      <xdr:colOff>45720</xdr:colOff>
      <xdr:row>12</xdr:row>
      <xdr:rowOff>60960</xdr:rowOff>
    </xdr:to>
    <xdr:pic>
      <xdr:nvPicPr>
        <xdr:cNvPr id="1027" name="Graphic 1026" descr="Group of women with solid fill">
          <a:extLst>
            <a:ext uri="{FF2B5EF4-FFF2-40B4-BE49-F238E27FC236}">
              <a16:creationId xmlns:a16="http://schemas.microsoft.com/office/drawing/2014/main" id="{472BBD3D-5C18-46F5-BC33-FA36D4A9A6D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565729" y="1475836"/>
          <a:ext cx="757255" cy="741728"/>
        </a:xfrm>
        <a:prstGeom prst="rect">
          <a:avLst/>
        </a:prstGeom>
      </xdr:spPr>
    </xdr:pic>
    <xdr:clientData/>
  </xdr:twoCellAnchor>
  <xdr:twoCellAnchor>
    <xdr:from>
      <xdr:col>3</xdr:col>
      <xdr:colOff>60960</xdr:colOff>
      <xdr:row>15</xdr:row>
      <xdr:rowOff>137160</xdr:rowOff>
    </xdr:from>
    <xdr:to>
      <xdr:col>5</xdr:col>
      <xdr:colOff>190500</xdr:colOff>
      <xdr:row>22</xdr:row>
      <xdr:rowOff>7620</xdr:rowOff>
    </xdr:to>
    <xdr:graphicFrame macro="">
      <xdr:nvGraphicFramePr>
        <xdr:cNvPr id="1028" name="Chart 1027">
          <a:extLst>
            <a:ext uri="{FF2B5EF4-FFF2-40B4-BE49-F238E27FC236}">
              <a16:creationId xmlns:a16="http://schemas.microsoft.com/office/drawing/2014/main" id="{0059264A-F583-4220-9F27-E5F157E0E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495300</xdr:colOff>
      <xdr:row>15</xdr:row>
      <xdr:rowOff>129540</xdr:rowOff>
    </xdr:from>
    <xdr:to>
      <xdr:col>7</xdr:col>
      <xdr:colOff>99060</xdr:colOff>
      <xdr:row>22</xdr:row>
      <xdr:rowOff>53340</xdr:rowOff>
    </xdr:to>
    <xdr:graphicFrame macro="">
      <xdr:nvGraphicFramePr>
        <xdr:cNvPr id="1029" name="Chart 1028">
          <a:extLst>
            <a:ext uri="{FF2B5EF4-FFF2-40B4-BE49-F238E27FC236}">
              <a16:creationId xmlns:a16="http://schemas.microsoft.com/office/drawing/2014/main" id="{8D463E57-E225-46AC-A8B5-0882667DCE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2</xdr:col>
      <xdr:colOff>601980</xdr:colOff>
      <xdr:row>14</xdr:row>
      <xdr:rowOff>106680</xdr:rowOff>
    </xdr:from>
    <xdr:to>
      <xdr:col>4</xdr:col>
      <xdr:colOff>211908</xdr:colOff>
      <xdr:row>17</xdr:row>
      <xdr:rowOff>106728</xdr:rowOff>
    </xdr:to>
    <xdr:pic>
      <xdr:nvPicPr>
        <xdr:cNvPr id="1031" name="Picture 1030">
          <a:extLst>
            <a:ext uri="{FF2B5EF4-FFF2-40B4-BE49-F238E27FC236}">
              <a16:creationId xmlns:a16="http://schemas.microsoft.com/office/drawing/2014/main" id="{73E0BA71-C4A4-306C-1CBE-29096796FA9C}"/>
            </a:ext>
          </a:extLst>
        </xdr:cNvPr>
        <xdr:cNvPicPr>
          <a:picLocks noChangeAspect="1"/>
        </xdr:cNvPicPr>
      </xdr:nvPicPr>
      <xdr:blipFill>
        <a:blip xmlns:r="http://schemas.openxmlformats.org/officeDocument/2006/relationships" r:embed="rId23"/>
        <a:stretch>
          <a:fillRect/>
        </a:stretch>
      </xdr:blipFill>
      <xdr:spPr>
        <a:xfrm>
          <a:off x="1821180" y="2667000"/>
          <a:ext cx="829128" cy="548688"/>
        </a:xfrm>
        <a:prstGeom prst="rect">
          <a:avLst/>
        </a:prstGeom>
      </xdr:spPr>
    </xdr:pic>
    <xdr:clientData/>
  </xdr:twoCellAnchor>
  <xdr:twoCellAnchor editAs="oneCell">
    <xdr:from>
      <xdr:col>4</xdr:col>
      <xdr:colOff>579120</xdr:colOff>
      <xdr:row>14</xdr:row>
      <xdr:rowOff>76200</xdr:rowOff>
    </xdr:from>
    <xdr:to>
      <xdr:col>6</xdr:col>
      <xdr:colOff>457295</xdr:colOff>
      <xdr:row>17</xdr:row>
      <xdr:rowOff>76248</xdr:rowOff>
    </xdr:to>
    <xdr:pic>
      <xdr:nvPicPr>
        <xdr:cNvPr id="1032" name="Picture 1031">
          <a:extLst>
            <a:ext uri="{FF2B5EF4-FFF2-40B4-BE49-F238E27FC236}">
              <a16:creationId xmlns:a16="http://schemas.microsoft.com/office/drawing/2014/main" id="{F58727BF-F0A7-76CC-790F-B1E9940E0369}"/>
            </a:ext>
          </a:extLst>
        </xdr:cNvPr>
        <xdr:cNvPicPr>
          <a:picLocks noChangeAspect="1"/>
        </xdr:cNvPicPr>
      </xdr:nvPicPr>
      <xdr:blipFill>
        <a:blip xmlns:r="http://schemas.openxmlformats.org/officeDocument/2006/relationships" r:embed="rId24"/>
        <a:stretch>
          <a:fillRect/>
        </a:stretch>
      </xdr:blipFill>
      <xdr:spPr>
        <a:xfrm>
          <a:off x="3017520" y="2636520"/>
          <a:ext cx="1097375" cy="548688"/>
        </a:xfrm>
        <a:prstGeom prst="rect">
          <a:avLst/>
        </a:prstGeom>
      </xdr:spPr>
    </xdr:pic>
    <xdr:clientData/>
  </xdr:twoCellAnchor>
  <xdr:twoCellAnchor>
    <xdr:from>
      <xdr:col>7</xdr:col>
      <xdr:colOff>175260</xdr:colOff>
      <xdr:row>11</xdr:row>
      <xdr:rowOff>91440</xdr:rowOff>
    </xdr:from>
    <xdr:to>
      <xdr:col>11</xdr:col>
      <xdr:colOff>190500</xdr:colOff>
      <xdr:row>21</xdr:row>
      <xdr:rowOff>99060</xdr:rowOff>
    </xdr:to>
    <xdr:graphicFrame macro="">
      <xdr:nvGraphicFramePr>
        <xdr:cNvPr id="13" name="Chart 12">
          <a:extLst>
            <a:ext uri="{FF2B5EF4-FFF2-40B4-BE49-F238E27FC236}">
              <a16:creationId xmlns:a16="http://schemas.microsoft.com/office/drawing/2014/main" id="{404C63A7-1B22-4478-8898-4B29BAE1C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7</xdr:col>
      <xdr:colOff>53341</xdr:colOff>
      <xdr:row>9</xdr:row>
      <xdr:rowOff>91440</xdr:rowOff>
    </xdr:from>
    <xdr:to>
      <xdr:col>10</xdr:col>
      <xdr:colOff>327661</xdr:colOff>
      <xdr:row>12</xdr:row>
      <xdr:rowOff>48812</xdr:rowOff>
    </xdr:to>
    <xdr:pic>
      <xdr:nvPicPr>
        <xdr:cNvPr id="28" name="Picture 27">
          <a:extLst>
            <a:ext uri="{FF2B5EF4-FFF2-40B4-BE49-F238E27FC236}">
              <a16:creationId xmlns:a16="http://schemas.microsoft.com/office/drawing/2014/main" id="{382D3123-E54D-1BCA-E037-4D4636119D0A}"/>
            </a:ext>
          </a:extLst>
        </xdr:cNvPr>
        <xdr:cNvPicPr>
          <a:picLocks noChangeAspect="1"/>
        </xdr:cNvPicPr>
      </xdr:nvPicPr>
      <xdr:blipFill>
        <a:blip xmlns:r="http://schemas.openxmlformats.org/officeDocument/2006/relationships" r:embed="rId26"/>
        <a:stretch>
          <a:fillRect/>
        </a:stretch>
      </xdr:blipFill>
      <xdr:spPr>
        <a:xfrm>
          <a:off x="4320541" y="1737360"/>
          <a:ext cx="2103120" cy="506012"/>
        </a:xfrm>
        <a:prstGeom prst="rect">
          <a:avLst/>
        </a:prstGeom>
      </xdr:spPr>
    </xdr:pic>
    <xdr:clientData/>
  </xdr:twoCellAnchor>
  <xdr:twoCellAnchor>
    <xdr:from>
      <xdr:col>12</xdr:col>
      <xdr:colOff>106680</xdr:colOff>
      <xdr:row>10</xdr:row>
      <xdr:rowOff>15240</xdr:rowOff>
    </xdr:from>
    <xdr:to>
      <xdr:col>16</xdr:col>
      <xdr:colOff>342900</xdr:colOff>
      <xdr:row>17</xdr:row>
      <xdr:rowOff>68580</xdr:rowOff>
    </xdr:to>
    <xdr:graphicFrame macro="">
      <xdr:nvGraphicFramePr>
        <xdr:cNvPr id="36" name="Chart 35">
          <a:extLst>
            <a:ext uri="{FF2B5EF4-FFF2-40B4-BE49-F238E27FC236}">
              <a16:creationId xmlns:a16="http://schemas.microsoft.com/office/drawing/2014/main" id="{E665E00D-54FB-41CC-8880-4C0A7D20E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12</xdr:col>
      <xdr:colOff>44138</xdr:colOff>
      <xdr:row>7</xdr:row>
      <xdr:rowOff>166205</xdr:rowOff>
    </xdr:from>
    <xdr:to>
      <xdr:col>13</xdr:col>
      <xdr:colOff>425927</xdr:colOff>
      <xdr:row>10</xdr:row>
      <xdr:rowOff>100644</xdr:rowOff>
    </xdr:to>
    <xdr:pic>
      <xdr:nvPicPr>
        <xdr:cNvPr id="29" name="Picture 28">
          <a:extLst>
            <a:ext uri="{FF2B5EF4-FFF2-40B4-BE49-F238E27FC236}">
              <a16:creationId xmlns:a16="http://schemas.microsoft.com/office/drawing/2014/main" id="{0A7E706F-BF19-54D1-0BE0-6AF504F7D747}"/>
            </a:ext>
          </a:extLst>
        </xdr:cNvPr>
        <xdr:cNvPicPr>
          <a:picLocks noChangeAspect="1"/>
        </xdr:cNvPicPr>
      </xdr:nvPicPr>
      <xdr:blipFill>
        <a:blip xmlns:r="http://schemas.openxmlformats.org/officeDocument/2006/relationships" r:embed="rId28"/>
        <a:stretch>
          <a:fillRect/>
        </a:stretch>
      </xdr:blipFill>
      <xdr:spPr>
        <a:xfrm>
          <a:off x="7376591" y="1424224"/>
          <a:ext cx="992827" cy="473590"/>
        </a:xfrm>
        <a:prstGeom prst="rect">
          <a:avLst/>
        </a:prstGeom>
      </xdr:spPr>
    </xdr:pic>
    <xdr:clientData/>
  </xdr:twoCellAnchor>
  <xdr:twoCellAnchor editAs="oneCell">
    <xdr:from>
      <xdr:col>13</xdr:col>
      <xdr:colOff>159157</xdr:colOff>
      <xdr:row>7</xdr:row>
      <xdr:rowOff>144636</xdr:rowOff>
    </xdr:from>
    <xdr:to>
      <xdr:col>13</xdr:col>
      <xdr:colOff>512756</xdr:colOff>
      <xdr:row>10</xdr:row>
      <xdr:rowOff>111497</xdr:rowOff>
    </xdr:to>
    <xdr:pic>
      <xdr:nvPicPr>
        <xdr:cNvPr id="30" name="Picture 29">
          <a:extLst>
            <a:ext uri="{FF2B5EF4-FFF2-40B4-BE49-F238E27FC236}">
              <a16:creationId xmlns:a16="http://schemas.microsoft.com/office/drawing/2014/main" id="{1A34C017-D891-4F94-F7D8-CE1A3A984B5C}"/>
            </a:ext>
          </a:extLst>
        </xdr:cNvPr>
        <xdr:cNvPicPr>
          <a:picLocks noChangeAspect="1"/>
        </xdr:cNvPicPr>
      </xdr:nvPicPr>
      <xdr:blipFill>
        <a:blip xmlns:r="http://schemas.openxmlformats.org/officeDocument/2006/relationships" r:embed="rId29"/>
        <a:stretch>
          <a:fillRect/>
        </a:stretch>
      </xdr:blipFill>
      <xdr:spPr>
        <a:xfrm>
          <a:off x="8102648" y="1402655"/>
          <a:ext cx="353599" cy="506012"/>
        </a:xfrm>
        <a:prstGeom prst="rect">
          <a:avLst/>
        </a:prstGeom>
      </xdr:spPr>
    </xdr:pic>
    <xdr:clientData/>
  </xdr:twoCellAnchor>
  <xdr:twoCellAnchor editAs="oneCell">
    <xdr:from>
      <xdr:col>12</xdr:col>
      <xdr:colOff>25447</xdr:colOff>
      <xdr:row>9</xdr:row>
      <xdr:rowOff>4313</xdr:rowOff>
    </xdr:from>
    <xdr:to>
      <xdr:col>15</xdr:col>
      <xdr:colOff>588270</xdr:colOff>
      <xdr:row>11</xdr:row>
      <xdr:rowOff>150891</xdr:rowOff>
    </xdr:to>
    <xdr:pic>
      <xdr:nvPicPr>
        <xdr:cNvPr id="32" name="Picture 31">
          <a:extLst>
            <a:ext uri="{FF2B5EF4-FFF2-40B4-BE49-F238E27FC236}">
              <a16:creationId xmlns:a16="http://schemas.microsoft.com/office/drawing/2014/main" id="{8DB63085-ABFE-5D6A-41DB-E07AF3D066A5}"/>
            </a:ext>
          </a:extLst>
        </xdr:cNvPr>
        <xdr:cNvPicPr>
          <a:picLocks noChangeAspect="1"/>
        </xdr:cNvPicPr>
      </xdr:nvPicPr>
      <xdr:blipFill>
        <a:blip xmlns:r="http://schemas.openxmlformats.org/officeDocument/2006/relationships" r:embed="rId30"/>
        <a:stretch>
          <a:fillRect/>
        </a:stretch>
      </xdr:blipFill>
      <xdr:spPr>
        <a:xfrm>
          <a:off x="7357900" y="1621766"/>
          <a:ext cx="2395936" cy="506012"/>
        </a:xfrm>
        <a:prstGeom prst="rect">
          <a:avLst/>
        </a:prstGeom>
      </xdr:spPr>
    </xdr:pic>
    <xdr:clientData/>
  </xdr:twoCellAnchor>
  <xdr:twoCellAnchor editAs="oneCell">
    <xdr:from>
      <xdr:col>11</xdr:col>
      <xdr:colOff>597233</xdr:colOff>
      <xdr:row>0</xdr:row>
      <xdr:rowOff>0</xdr:rowOff>
    </xdr:from>
    <xdr:to>
      <xdr:col>15</xdr:col>
      <xdr:colOff>268113</xdr:colOff>
      <xdr:row>2</xdr:row>
      <xdr:rowOff>115019</xdr:rowOff>
    </xdr:to>
    <xdr:pic>
      <xdr:nvPicPr>
        <xdr:cNvPr id="37" name="Picture 36">
          <a:extLst>
            <a:ext uri="{FF2B5EF4-FFF2-40B4-BE49-F238E27FC236}">
              <a16:creationId xmlns:a16="http://schemas.microsoft.com/office/drawing/2014/main" id="{686FC08C-B1F3-143E-6857-57FE6B8613B2}"/>
            </a:ext>
          </a:extLst>
        </xdr:cNvPr>
        <xdr:cNvPicPr>
          <a:picLocks noChangeAspect="1"/>
        </xdr:cNvPicPr>
      </xdr:nvPicPr>
      <xdr:blipFill>
        <a:blip xmlns:r="http://schemas.openxmlformats.org/officeDocument/2006/relationships" r:embed="rId31"/>
        <a:stretch>
          <a:fillRect/>
        </a:stretch>
      </xdr:blipFill>
      <xdr:spPr>
        <a:xfrm>
          <a:off x="7256904" y="0"/>
          <a:ext cx="2092579" cy="490800"/>
        </a:xfrm>
        <a:prstGeom prst="rect">
          <a:avLst/>
        </a:prstGeom>
      </xdr:spPr>
    </xdr:pic>
    <xdr:clientData/>
  </xdr:twoCellAnchor>
  <xdr:twoCellAnchor editAs="oneCell">
    <xdr:from>
      <xdr:col>11</xdr:col>
      <xdr:colOff>590049</xdr:colOff>
      <xdr:row>0</xdr:row>
      <xdr:rowOff>158151</xdr:rowOff>
    </xdr:from>
    <xdr:to>
      <xdr:col>16</xdr:col>
      <xdr:colOff>481643</xdr:colOff>
      <xdr:row>3</xdr:row>
      <xdr:rowOff>125012</xdr:rowOff>
    </xdr:to>
    <xdr:pic>
      <xdr:nvPicPr>
        <xdr:cNvPr id="38" name="Picture 37">
          <a:extLst>
            <a:ext uri="{FF2B5EF4-FFF2-40B4-BE49-F238E27FC236}">
              <a16:creationId xmlns:a16="http://schemas.microsoft.com/office/drawing/2014/main" id="{5CDE4B4E-B46B-CA38-14B2-62090BF671FA}"/>
            </a:ext>
          </a:extLst>
        </xdr:cNvPr>
        <xdr:cNvPicPr>
          <a:picLocks noChangeAspect="1"/>
        </xdr:cNvPicPr>
      </xdr:nvPicPr>
      <xdr:blipFill>
        <a:blip xmlns:r="http://schemas.openxmlformats.org/officeDocument/2006/relationships" r:embed="rId32"/>
        <a:stretch>
          <a:fillRect/>
        </a:stretch>
      </xdr:blipFill>
      <xdr:spPr>
        <a:xfrm>
          <a:off x="7311464" y="158151"/>
          <a:ext cx="2946783" cy="506012"/>
        </a:xfrm>
        <a:prstGeom prst="rect">
          <a:avLst/>
        </a:prstGeom>
      </xdr:spPr>
    </xdr:pic>
    <xdr:clientData/>
  </xdr:twoCellAnchor>
  <xdr:twoCellAnchor editAs="oneCell">
    <xdr:from>
      <xdr:col>14</xdr:col>
      <xdr:colOff>345057</xdr:colOff>
      <xdr:row>3</xdr:row>
      <xdr:rowOff>43131</xdr:rowOff>
    </xdr:from>
    <xdr:to>
      <xdr:col>16</xdr:col>
      <xdr:colOff>256211</xdr:colOff>
      <xdr:row>7</xdr:row>
      <xdr:rowOff>158150</xdr:rowOff>
    </xdr:to>
    <xdr:pic>
      <xdr:nvPicPr>
        <xdr:cNvPr id="44" name="Graphic 43" descr="Bar graph with upward trend with solid fill">
          <a:extLst>
            <a:ext uri="{FF2B5EF4-FFF2-40B4-BE49-F238E27FC236}">
              <a16:creationId xmlns:a16="http://schemas.microsoft.com/office/drawing/2014/main" id="{46DA4106-DC42-4617-8FD5-75FBDAC63E02}"/>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8899585" y="582282"/>
          <a:ext cx="1133230" cy="833887"/>
        </a:xfrm>
        <a:prstGeom prst="rect">
          <a:avLst/>
        </a:prstGeom>
      </xdr:spPr>
    </xdr:pic>
    <xdr:clientData/>
  </xdr:twoCellAnchor>
  <xdr:twoCellAnchor>
    <xdr:from>
      <xdr:col>0</xdr:col>
      <xdr:colOff>86264</xdr:colOff>
      <xdr:row>11</xdr:row>
      <xdr:rowOff>150962</xdr:rowOff>
    </xdr:from>
    <xdr:to>
      <xdr:col>0</xdr:col>
      <xdr:colOff>86264</xdr:colOff>
      <xdr:row>14</xdr:row>
      <xdr:rowOff>14376</xdr:rowOff>
    </xdr:to>
    <xdr:cxnSp macro="">
      <xdr:nvCxnSpPr>
        <xdr:cNvPr id="46" name="Straight Connector 45">
          <a:extLst>
            <a:ext uri="{FF2B5EF4-FFF2-40B4-BE49-F238E27FC236}">
              <a16:creationId xmlns:a16="http://schemas.microsoft.com/office/drawing/2014/main" id="{BF153DAF-B79C-C8D5-96FF-D6F5DBDF434C}"/>
            </a:ext>
          </a:extLst>
        </xdr:cNvPr>
        <xdr:cNvCxnSpPr/>
      </xdr:nvCxnSpPr>
      <xdr:spPr>
        <a:xfrm>
          <a:off x="86264" y="2127849"/>
          <a:ext cx="0" cy="402565"/>
        </a:xfrm>
        <a:prstGeom prst="line">
          <a:avLst/>
        </a:prstGeom>
        <a:ln w="25400" cap="rnd">
          <a:solidFill>
            <a:schemeClr val="bg1">
              <a:lumMod val="85000"/>
            </a:schemeClr>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107830</xdr:colOff>
      <xdr:row>2</xdr:row>
      <xdr:rowOff>180207</xdr:rowOff>
    </xdr:from>
    <xdr:to>
      <xdr:col>1</xdr:col>
      <xdr:colOff>531959</xdr:colOff>
      <xdr:row>7</xdr:row>
      <xdr:rowOff>101131</xdr:rowOff>
    </xdr:to>
    <xdr:pic>
      <xdr:nvPicPr>
        <xdr:cNvPr id="62" name="Graphic 61" descr="Man with solid fill">
          <a:extLst>
            <a:ext uri="{FF2B5EF4-FFF2-40B4-BE49-F238E27FC236}">
              <a16:creationId xmlns:a16="http://schemas.microsoft.com/office/drawing/2014/main" id="{3893B376-2BD3-4F07-B786-D3215E6CBE99}"/>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107830" y="555988"/>
          <a:ext cx="1029554" cy="860376"/>
        </a:xfrm>
        <a:prstGeom prst="rect">
          <a:avLst/>
        </a:prstGeom>
      </xdr:spPr>
    </xdr:pic>
    <xdr:clientData/>
  </xdr:twoCellAnchor>
  <xdr:twoCellAnchor editAs="oneCell">
    <xdr:from>
      <xdr:col>0</xdr:col>
      <xdr:colOff>438710</xdr:colOff>
      <xdr:row>1</xdr:row>
      <xdr:rowOff>178825</xdr:rowOff>
    </xdr:from>
    <xdr:to>
      <xdr:col>4</xdr:col>
      <xdr:colOff>64899</xdr:colOff>
      <xdr:row>7</xdr:row>
      <xdr:rowOff>55600</xdr:rowOff>
    </xdr:to>
    <xdr:pic>
      <xdr:nvPicPr>
        <xdr:cNvPr id="63" name="Picture 62">
          <a:extLst>
            <a:ext uri="{FF2B5EF4-FFF2-40B4-BE49-F238E27FC236}">
              <a16:creationId xmlns:a16="http://schemas.microsoft.com/office/drawing/2014/main" id="{7C2D320D-FD93-4237-6734-9D93C219E5A9}"/>
            </a:ext>
          </a:extLst>
        </xdr:cNvPr>
        <xdr:cNvPicPr>
          <a:picLocks noChangeAspect="1"/>
        </xdr:cNvPicPr>
      </xdr:nvPicPr>
      <xdr:blipFill>
        <a:blip xmlns:r="http://schemas.openxmlformats.org/officeDocument/2006/relationships" r:embed="rId37"/>
        <a:stretch>
          <a:fillRect/>
        </a:stretch>
      </xdr:blipFill>
      <xdr:spPr>
        <a:xfrm>
          <a:off x="438710" y="366715"/>
          <a:ext cx="2047888" cy="1004118"/>
        </a:xfrm>
        <a:prstGeom prst="rect">
          <a:avLst/>
        </a:prstGeom>
      </xdr:spPr>
    </xdr:pic>
    <xdr:clientData/>
  </xdr:twoCellAnchor>
  <xdr:twoCellAnchor editAs="oneCell">
    <xdr:from>
      <xdr:col>1</xdr:col>
      <xdr:colOff>136782</xdr:colOff>
      <xdr:row>4</xdr:row>
      <xdr:rowOff>95517</xdr:rowOff>
    </xdr:from>
    <xdr:to>
      <xdr:col>4</xdr:col>
      <xdr:colOff>512167</xdr:colOff>
      <xdr:row>7</xdr:row>
      <xdr:rowOff>105054</xdr:rowOff>
    </xdr:to>
    <xdr:pic>
      <xdr:nvPicPr>
        <xdr:cNvPr id="1026" name="Picture 1025">
          <a:extLst>
            <a:ext uri="{FF2B5EF4-FFF2-40B4-BE49-F238E27FC236}">
              <a16:creationId xmlns:a16="http://schemas.microsoft.com/office/drawing/2014/main" id="{F515A7F1-9B0A-BFBD-50FE-66730F98E5EA}"/>
            </a:ext>
          </a:extLst>
        </xdr:cNvPr>
        <xdr:cNvPicPr>
          <a:picLocks noChangeAspect="1"/>
        </xdr:cNvPicPr>
      </xdr:nvPicPr>
      <xdr:blipFill>
        <a:blip xmlns:r="http://schemas.openxmlformats.org/officeDocument/2006/relationships" r:embed="rId38"/>
        <a:stretch>
          <a:fillRect/>
        </a:stretch>
      </xdr:blipFill>
      <xdr:spPr>
        <a:xfrm>
          <a:off x="742207" y="847079"/>
          <a:ext cx="2191659" cy="573208"/>
        </a:xfrm>
        <a:prstGeom prst="rect">
          <a:avLst/>
        </a:prstGeom>
      </xdr:spPr>
    </xdr:pic>
    <xdr:clientData/>
  </xdr:twoCellAnchor>
  <xdr:twoCellAnchor editAs="oneCell">
    <xdr:from>
      <xdr:col>1</xdr:col>
      <xdr:colOff>272480</xdr:colOff>
      <xdr:row>5</xdr:row>
      <xdr:rowOff>150072</xdr:rowOff>
    </xdr:from>
    <xdr:to>
      <xdr:col>7</xdr:col>
      <xdr:colOff>52191</xdr:colOff>
      <xdr:row>8</xdr:row>
      <xdr:rowOff>159609</xdr:rowOff>
    </xdr:to>
    <xdr:pic>
      <xdr:nvPicPr>
        <xdr:cNvPr id="1030" name="Picture 1029">
          <a:extLst>
            <a:ext uri="{FF2B5EF4-FFF2-40B4-BE49-F238E27FC236}">
              <a16:creationId xmlns:a16="http://schemas.microsoft.com/office/drawing/2014/main" id="{1E3D6056-5095-8178-EB7A-83AA5E95BC90}"/>
            </a:ext>
          </a:extLst>
        </xdr:cNvPr>
        <xdr:cNvPicPr>
          <a:picLocks noChangeAspect="1"/>
        </xdr:cNvPicPr>
      </xdr:nvPicPr>
      <xdr:blipFill>
        <a:blip xmlns:r="http://schemas.openxmlformats.org/officeDocument/2006/relationships" r:embed="rId39"/>
        <a:stretch>
          <a:fillRect/>
        </a:stretch>
      </xdr:blipFill>
      <xdr:spPr>
        <a:xfrm>
          <a:off x="877905" y="1089524"/>
          <a:ext cx="3412259" cy="573208"/>
        </a:xfrm>
        <a:prstGeom prst="rect">
          <a:avLst/>
        </a:prstGeom>
      </xdr:spPr>
    </xdr:pic>
    <xdr:clientData/>
  </xdr:twoCellAnchor>
  <xdr:twoCellAnchor editAs="oneCell">
    <xdr:from>
      <xdr:col>2</xdr:col>
      <xdr:colOff>471721</xdr:colOff>
      <xdr:row>8</xdr:row>
      <xdr:rowOff>28998</xdr:rowOff>
    </xdr:from>
    <xdr:to>
      <xdr:col>4</xdr:col>
      <xdr:colOff>252352</xdr:colOff>
      <xdr:row>13</xdr:row>
      <xdr:rowOff>103249</xdr:rowOff>
    </xdr:to>
    <xdr:pic>
      <xdr:nvPicPr>
        <xdr:cNvPr id="1033" name="Picture 1032">
          <a:extLst>
            <a:ext uri="{FF2B5EF4-FFF2-40B4-BE49-F238E27FC236}">
              <a16:creationId xmlns:a16="http://schemas.microsoft.com/office/drawing/2014/main" id="{3F115864-59C0-EB9E-5588-DD9DE6CC74F3}"/>
            </a:ext>
          </a:extLst>
        </xdr:cNvPr>
        <xdr:cNvPicPr>
          <a:picLocks noChangeAspect="1"/>
        </xdr:cNvPicPr>
      </xdr:nvPicPr>
      <xdr:blipFill>
        <a:blip xmlns:r="http://schemas.openxmlformats.org/officeDocument/2006/relationships" r:embed="rId40"/>
        <a:stretch>
          <a:fillRect/>
        </a:stretch>
      </xdr:blipFill>
      <xdr:spPr>
        <a:xfrm>
          <a:off x="1690921" y="1451398"/>
          <a:ext cx="999831" cy="963251"/>
        </a:xfrm>
        <a:prstGeom prst="rect">
          <a:avLst/>
        </a:prstGeom>
      </xdr:spPr>
    </xdr:pic>
    <xdr:clientData/>
  </xdr:twoCellAnchor>
  <xdr:twoCellAnchor editAs="oneCell">
    <xdr:from>
      <xdr:col>7</xdr:col>
      <xdr:colOff>135699</xdr:colOff>
      <xdr:row>2</xdr:row>
      <xdr:rowOff>73067</xdr:rowOff>
    </xdr:from>
    <xdr:to>
      <xdr:col>12</xdr:col>
      <xdr:colOff>41754</xdr:colOff>
      <xdr:row>7</xdr:row>
      <xdr:rowOff>135698</xdr:rowOff>
    </xdr:to>
    <mc:AlternateContent xmlns:mc="http://schemas.openxmlformats.org/markup-compatibility/2006" xmlns:a14="http://schemas.microsoft.com/office/drawing/2010/main">
      <mc:Choice Requires="a14">
        <xdr:graphicFrame macro="">
          <xdr:nvGraphicFramePr>
            <xdr:cNvPr id="5" name="Department 1">
              <a:extLst>
                <a:ext uri="{FF2B5EF4-FFF2-40B4-BE49-F238E27FC236}">
                  <a16:creationId xmlns:a16="http://schemas.microsoft.com/office/drawing/2014/main" id="{0D48570E-7842-4B42-A682-06D9129FF91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402899" y="431655"/>
              <a:ext cx="2954055" cy="959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334027</xdr:colOff>
      <xdr:row>1</xdr:row>
      <xdr:rowOff>177452</xdr:rowOff>
    </xdr:from>
    <xdr:to>
      <xdr:col>6</xdr:col>
      <xdr:colOff>576195</xdr:colOff>
      <xdr:row>5</xdr:row>
      <xdr:rowOff>41752</xdr:rowOff>
    </xdr:to>
    <mc:AlternateContent xmlns:mc="http://schemas.openxmlformats.org/markup-compatibility/2006" xmlns:a14="http://schemas.microsoft.com/office/drawing/2010/main">
      <mc:Choice Requires="a14">
        <xdr:graphicFrame macro="">
          <xdr:nvGraphicFramePr>
            <xdr:cNvPr id="39" name="Gender 1">
              <a:extLst>
                <a:ext uri="{FF2B5EF4-FFF2-40B4-BE49-F238E27FC236}">
                  <a16:creationId xmlns:a16="http://schemas.microsoft.com/office/drawing/2014/main" id="{BFB16234-7975-4E64-AB8A-F47021F284B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162827" y="356746"/>
              <a:ext cx="2070968" cy="5814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104383</xdr:colOff>
      <xdr:row>0</xdr:row>
      <xdr:rowOff>41752</xdr:rowOff>
    </xdr:from>
    <xdr:to>
      <xdr:col>12</xdr:col>
      <xdr:colOff>156575</xdr:colOff>
      <xdr:row>2</xdr:row>
      <xdr:rowOff>74438</xdr:rowOff>
    </xdr:to>
    <xdr:pic>
      <xdr:nvPicPr>
        <xdr:cNvPr id="40" name="Picture 39">
          <a:extLst>
            <a:ext uri="{FF2B5EF4-FFF2-40B4-BE49-F238E27FC236}">
              <a16:creationId xmlns:a16="http://schemas.microsoft.com/office/drawing/2014/main" id="{7A9AD732-ED6F-3BB1-B5E9-7418FA2A5154}"/>
            </a:ext>
          </a:extLst>
        </xdr:cNvPr>
        <xdr:cNvPicPr>
          <a:picLocks noChangeAspect="1"/>
        </xdr:cNvPicPr>
      </xdr:nvPicPr>
      <xdr:blipFill>
        <a:blip xmlns:r="http://schemas.openxmlformats.org/officeDocument/2006/relationships" r:embed="rId41"/>
        <a:stretch>
          <a:fillRect/>
        </a:stretch>
      </xdr:blipFill>
      <xdr:spPr>
        <a:xfrm>
          <a:off x="4342356" y="41752"/>
          <a:ext cx="3079315" cy="408467"/>
        </a:xfrm>
        <a:prstGeom prst="rect">
          <a:avLst/>
        </a:prstGeom>
      </xdr:spPr>
    </xdr:pic>
    <xdr:clientData/>
  </xdr:twoCellAnchor>
  <xdr:twoCellAnchor editAs="oneCell">
    <xdr:from>
      <xdr:col>3</xdr:col>
      <xdr:colOff>260959</xdr:colOff>
      <xdr:row>0</xdr:row>
      <xdr:rowOff>31314</xdr:rowOff>
    </xdr:from>
    <xdr:to>
      <xdr:col>7</xdr:col>
      <xdr:colOff>156575</xdr:colOff>
      <xdr:row>2</xdr:row>
      <xdr:rowOff>64000</xdr:rowOff>
    </xdr:to>
    <xdr:pic>
      <xdr:nvPicPr>
        <xdr:cNvPr id="42" name="Picture 41">
          <a:extLst>
            <a:ext uri="{FF2B5EF4-FFF2-40B4-BE49-F238E27FC236}">
              <a16:creationId xmlns:a16="http://schemas.microsoft.com/office/drawing/2014/main" id="{28B088D5-17FA-481C-0B53-21791100CDCD}"/>
            </a:ext>
          </a:extLst>
        </xdr:cNvPr>
        <xdr:cNvPicPr>
          <a:picLocks noChangeAspect="1"/>
        </xdr:cNvPicPr>
      </xdr:nvPicPr>
      <xdr:blipFill>
        <a:blip xmlns:r="http://schemas.openxmlformats.org/officeDocument/2006/relationships" r:embed="rId42"/>
        <a:stretch>
          <a:fillRect/>
        </a:stretch>
      </xdr:blipFill>
      <xdr:spPr>
        <a:xfrm>
          <a:off x="2077233" y="31314"/>
          <a:ext cx="2317315" cy="408467"/>
        </a:xfrm>
        <a:prstGeom prst="rect">
          <a:avLst/>
        </a:prstGeom>
      </xdr:spPr>
    </xdr:pic>
    <xdr:clientData/>
  </xdr:twoCellAnchor>
  <xdr:twoCellAnchor>
    <xdr:from>
      <xdr:col>2</xdr:col>
      <xdr:colOff>134471</xdr:colOff>
      <xdr:row>31</xdr:row>
      <xdr:rowOff>35859</xdr:rowOff>
    </xdr:from>
    <xdr:to>
      <xdr:col>3</xdr:col>
      <xdr:colOff>80683</xdr:colOff>
      <xdr:row>32</xdr:row>
      <xdr:rowOff>134471</xdr:rowOff>
    </xdr:to>
    <xdr:sp macro="" textlink="">
      <xdr:nvSpPr>
        <xdr:cNvPr id="43" name="Rectangle 42">
          <a:extLst>
            <a:ext uri="{FF2B5EF4-FFF2-40B4-BE49-F238E27FC236}">
              <a16:creationId xmlns:a16="http://schemas.microsoft.com/office/drawing/2014/main" id="{8BDC118B-E4F0-53FA-99F3-EA31B62FF2B6}"/>
            </a:ext>
          </a:extLst>
        </xdr:cNvPr>
        <xdr:cNvSpPr/>
      </xdr:nvSpPr>
      <xdr:spPr>
        <a:xfrm>
          <a:off x="1353671" y="5593977"/>
          <a:ext cx="555812" cy="277906"/>
        </a:xfrm>
        <a:prstGeom prst="rect">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a:solidFill>
                <a:schemeClr val="bg2"/>
              </a:solidFill>
            </a:rPr>
            <a:t>38%</a:t>
          </a:r>
        </a:p>
      </xdr:txBody>
    </xdr:sp>
    <xdr:clientData/>
  </xdr:twoCellAnchor>
  <xdr:twoCellAnchor>
    <xdr:from>
      <xdr:col>2</xdr:col>
      <xdr:colOff>152401</xdr:colOff>
      <xdr:row>29</xdr:row>
      <xdr:rowOff>8965</xdr:rowOff>
    </xdr:from>
    <xdr:to>
      <xdr:col>3</xdr:col>
      <xdr:colOff>98613</xdr:colOff>
      <xdr:row>30</xdr:row>
      <xdr:rowOff>89647</xdr:rowOff>
    </xdr:to>
    <xdr:sp macro="" textlink="">
      <xdr:nvSpPr>
        <xdr:cNvPr id="45" name="Rectangle 44">
          <a:extLst>
            <a:ext uri="{FF2B5EF4-FFF2-40B4-BE49-F238E27FC236}">
              <a16:creationId xmlns:a16="http://schemas.microsoft.com/office/drawing/2014/main" id="{B91B1A98-7721-4A3A-9097-80060BD2C33A}"/>
            </a:ext>
          </a:extLst>
        </xdr:cNvPr>
        <xdr:cNvSpPr/>
      </xdr:nvSpPr>
      <xdr:spPr>
        <a:xfrm>
          <a:off x="1371601" y="5208494"/>
          <a:ext cx="555812" cy="259977"/>
        </a:xfrm>
        <a:prstGeom prst="rect">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a:solidFill>
                <a:schemeClr val="bg2"/>
              </a:solidFill>
            </a:rPr>
            <a:t>16%</a:t>
          </a:r>
        </a:p>
      </xdr:txBody>
    </xdr:sp>
    <xdr:clientData/>
  </xdr:twoCellAnchor>
  <xdr:twoCellAnchor>
    <xdr:from>
      <xdr:col>2</xdr:col>
      <xdr:colOff>170329</xdr:colOff>
      <xdr:row>26</xdr:row>
      <xdr:rowOff>89649</xdr:rowOff>
    </xdr:from>
    <xdr:to>
      <xdr:col>3</xdr:col>
      <xdr:colOff>116541</xdr:colOff>
      <xdr:row>27</xdr:row>
      <xdr:rowOff>170330</xdr:rowOff>
    </xdr:to>
    <xdr:sp macro="" textlink="">
      <xdr:nvSpPr>
        <xdr:cNvPr id="47" name="Rectangle 46">
          <a:extLst>
            <a:ext uri="{FF2B5EF4-FFF2-40B4-BE49-F238E27FC236}">
              <a16:creationId xmlns:a16="http://schemas.microsoft.com/office/drawing/2014/main" id="{8BC3FAC4-D7DF-41F7-9850-3493D02239F5}"/>
            </a:ext>
          </a:extLst>
        </xdr:cNvPr>
        <xdr:cNvSpPr/>
      </xdr:nvSpPr>
      <xdr:spPr>
        <a:xfrm>
          <a:off x="1389529" y="4751296"/>
          <a:ext cx="555812" cy="259975"/>
        </a:xfrm>
        <a:prstGeom prst="rect">
          <a:avLst/>
        </a:prstGeom>
        <a:solidFill>
          <a:srgbClr val="2828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a:solidFill>
                <a:schemeClr val="bg2"/>
              </a:solidFill>
            </a:rPr>
            <a:t>46%</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0.46865</cdr:x>
      <cdr:y>0.19144</cdr:y>
    </cdr:to>
    <cdr:pic>
      <cdr:nvPicPr>
        <cdr:cNvPr id="3" name="chart">
          <a:extLst xmlns:a="http://schemas.openxmlformats.org/drawingml/2006/main">
            <a:ext uri="{FF2B5EF4-FFF2-40B4-BE49-F238E27FC236}">
              <a16:creationId xmlns:a16="http://schemas.microsoft.com/office/drawing/2014/main" id="{FCDA5DC1-3DBF-FB53-2FC4-FE6CDF5CCD6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1103472" cy="408467"/>
        </a:xfrm>
        <a:prstGeom xmlns:a="http://schemas.openxmlformats.org/drawingml/2006/main" prst="rect">
          <a:avLst/>
        </a:prstGeom>
      </cdr:spPr>
    </cdr:pic>
  </cdr:relSizeAnchor>
  <cdr:relSizeAnchor xmlns:cdr="http://schemas.openxmlformats.org/drawingml/2006/chartDrawing">
    <cdr:from>
      <cdr:x>0.81065</cdr:x>
      <cdr:y>4.68691E-7</cdr:y>
    </cdr:from>
    <cdr:to>
      <cdr:x>1</cdr:x>
      <cdr:y>0.14286</cdr:y>
    </cdr:to>
    <cdr:pic>
      <cdr:nvPicPr>
        <cdr:cNvPr id="4" name="chart">
          <a:extLst xmlns:a="http://schemas.openxmlformats.org/drawingml/2006/main">
            <a:ext uri="{FF2B5EF4-FFF2-40B4-BE49-F238E27FC236}">
              <a16:creationId xmlns:a16="http://schemas.microsoft.com/office/drawing/2014/main" id="{91B50AA1-C063-FBCE-A388-246A5F63D3C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stretch xmlns:a="http://schemas.openxmlformats.org/drawingml/2006/main">
          <a:fillRect/>
        </a:stretch>
      </cdr:blipFill>
      <cdr:spPr>
        <a:xfrm xmlns:a="http://schemas.openxmlformats.org/drawingml/2006/main">
          <a:off x="1908752" y="1"/>
          <a:ext cx="445827" cy="304800"/>
        </a:xfrm>
        <a:prstGeom xmlns:a="http://schemas.openxmlformats.org/drawingml/2006/main" prst="rect">
          <a:avLst/>
        </a:prstGeom>
      </cdr:spPr>
    </cdr:pic>
  </cdr:relSizeAnchor>
  <cdr:relSizeAnchor xmlns:cdr="http://schemas.openxmlformats.org/drawingml/2006/chartDrawing">
    <cdr:from>
      <cdr:x>0.73355</cdr:x>
      <cdr:y>0.02024</cdr:y>
    </cdr:from>
    <cdr:to>
      <cdr:x>0.79504</cdr:x>
      <cdr:y>0.0881</cdr:y>
    </cdr:to>
    <cdr:sp macro="" textlink="">
      <cdr:nvSpPr>
        <cdr:cNvPr id="5" name="Flowchart: Connector 4">
          <a:extLst xmlns:a="http://schemas.openxmlformats.org/drawingml/2006/main">
            <a:ext uri="{FF2B5EF4-FFF2-40B4-BE49-F238E27FC236}">
              <a16:creationId xmlns:a16="http://schemas.microsoft.com/office/drawing/2014/main" id="{31E5ABE5-61FE-459A-8F31-B4775B56200A}"/>
            </a:ext>
          </a:extLst>
        </cdr:cNvPr>
        <cdr:cNvSpPr/>
      </cdr:nvSpPr>
      <cdr:spPr>
        <a:xfrm xmlns:a="http://schemas.openxmlformats.org/drawingml/2006/main">
          <a:off x="1727200" y="43180"/>
          <a:ext cx="144780" cy="144780"/>
        </a:xfrm>
        <a:prstGeom xmlns:a="http://schemas.openxmlformats.org/drawingml/2006/main" prst="flowChartConnector">
          <a:avLst/>
        </a:prstGeom>
        <a:solidFill xmlns:a="http://schemas.openxmlformats.org/drawingml/2006/main">
          <a:schemeClr val="bg2">
            <a:lumMod val="7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dr:relSizeAnchor xmlns:cdr="http://schemas.openxmlformats.org/drawingml/2006/chartDrawing">
    <cdr:from>
      <cdr:x>0.76767</cdr:x>
      <cdr:y>0.08571</cdr:y>
    </cdr:from>
    <cdr:to>
      <cdr:x>1</cdr:x>
      <cdr:y>0.21786</cdr:y>
    </cdr:to>
    <cdr:pic>
      <cdr:nvPicPr>
        <cdr:cNvPr id="6" name="chart">
          <a:extLst xmlns:a="http://schemas.openxmlformats.org/drawingml/2006/main">
            <a:ext uri="{FF2B5EF4-FFF2-40B4-BE49-F238E27FC236}">
              <a16:creationId xmlns:a16="http://schemas.microsoft.com/office/drawing/2014/main" id="{CAF5FD5C-3FD4-19FE-F3B5-B7C9A436A82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stretch xmlns:a="http://schemas.openxmlformats.org/drawingml/2006/main">
          <a:fillRect/>
        </a:stretch>
      </cdr:blipFill>
      <cdr:spPr>
        <a:xfrm xmlns:a="http://schemas.openxmlformats.org/drawingml/2006/main">
          <a:off x="1807533" y="182881"/>
          <a:ext cx="547047" cy="281939"/>
        </a:xfrm>
        <a:prstGeom xmlns:a="http://schemas.openxmlformats.org/drawingml/2006/main" prst="rect">
          <a:avLst/>
        </a:prstGeom>
      </cdr:spPr>
    </cdr:pic>
  </cdr:relSizeAnchor>
  <cdr:relSizeAnchor xmlns:cdr="http://schemas.openxmlformats.org/drawingml/2006/chartDrawing">
    <cdr:from>
      <cdr:x>0.72168</cdr:x>
      <cdr:y>0.09881</cdr:y>
    </cdr:from>
    <cdr:to>
      <cdr:x>0.78533</cdr:x>
      <cdr:y>0.175</cdr:y>
    </cdr:to>
    <cdr:sp macro="" textlink="">
      <cdr:nvSpPr>
        <cdr:cNvPr id="7" name="Flowchart: Connector 6">
          <a:extLst xmlns:a="http://schemas.openxmlformats.org/drawingml/2006/main">
            <a:ext uri="{FF2B5EF4-FFF2-40B4-BE49-F238E27FC236}">
              <a16:creationId xmlns:a16="http://schemas.microsoft.com/office/drawing/2014/main" id="{554CA5AC-5AE8-4657-BEB1-47F5D3B1662E}"/>
            </a:ext>
          </a:extLst>
        </cdr:cNvPr>
        <cdr:cNvSpPr/>
      </cdr:nvSpPr>
      <cdr:spPr>
        <a:xfrm xmlns:a="http://schemas.openxmlformats.org/drawingml/2006/main">
          <a:off x="1699260" y="210820"/>
          <a:ext cx="149860" cy="162560"/>
        </a:xfrm>
        <a:prstGeom xmlns:a="http://schemas.openxmlformats.org/drawingml/2006/main" prst="flowChartConnector">
          <a:avLst/>
        </a:prstGeom>
        <a:solidFill xmlns:a="http://schemas.openxmlformats.org/drawingml/2006/main">
          <a:srgbClr val="FFD244"/>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solidFill>
              <a:srgbClr val="FFFF0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36.401814467594" createdVersion="8" refreshedVersion="8" minRefreshableVersion="3" recordCount="51" xr:uid="{C69BCA0B-D36B-4BBC-88B1-A8EACF2F1771}">
  <cacheSource type="worksheet">
    <worksheetSource ref="A1:U1048576" sheet="Sheet1"/>
  </cacheSource>
  <cacheFields count="21">
    <cacheField name="Employee ID" numFmtId="0">
      <sharedItems containsString="0" containsBlank="1" containsNumber="1" containsInteger="1" minValue="1550" maxValue="9968"/>
    </cacheField>
    <cacheField name="Full Name" numFmtId="0">
      <sharedItems containsBlank="1"/>
    </cacheField>
    <cacheField name="Gender" numFmtId="0">
      <sharedItems containsBlank="1" count="3">
        <s v="Female"/>
        <s v="Male"/>
        <m/>
      </sharedItems>
    </cacheField>
    <cacheField name="Age" numFmtId="0">
      <sharedItems containsString="0" containsBlank="1" containsNumber="1" containsInteger="1" minValue="20" maxValue="60" count="28">
        <n v="25"/>
        <n v="27"/>
        <n v="34"/>
        <n v="41"/>
        <n v="56"/>
        <n v="28"/>
        <n v="20"/>
        <n v="58"/>
        <n v="44"/>
        <n v="29"/>
        <n v="23"/>
        <n v="30"/>
        <n v="49"/>
        <n v="60"/>
        <n v="46"/>
        <n v="57"/>
        <n v="24"/>
        <n v="35"/>
        <n v="36"/>
        <n v="31"/>
        <n v="37"/>
        <n v="48"/>
        <n v="45"/>
        <n v="52"/>
        <n v="42"/>
        <n v="21"/>
        <n v="59"/>
        <m/>
      </sharedItems>
    </cacheField>
    <cacheField name="Age range" numFmtId="0">
      <sharedItems containsBlank="1" count="6">
        <s v="18-25"/>
        <s v="26-35"/>
        <s v="36-45"/>
        <s v="56 &lt;"/>
        <s v="46-55"/>
        <m/>
      </sharedItems>
    </cacheField>
    <cacheField name="Region" numFmtId="0">
      <sharedItems containsBlank="1" count="6">
        <s v="East"/>
        <s v="Central"/>
        <s v="West"/>
        <s v="South"/>
        <s v="North"/>
        <m/>
      </sharedItems>
    </cacheField>
    <cacheField name="Job Title" numFmtId="0">
      <sharedItems containsBlank="1" count="6">
        <s v="Manager"/>
        <s v="Designer"/>
        <s v="HR Specialist"/>
        <s v="Developer"/>
        <s v="Analyst"/>
        <m/>
      </sharedItems>
    </cacheField>
    <cacheField name="Department" numFmtId="0">
      <sharedItems containsBlank="1" count="6">
        <s v="Finance"/>
        <s v="HR"/>
        <s v="Marketing"/>
        <s v="Operations"/>
        <s v="IT"/>
        <m/>
      </sharedItems>
    </cacheField>
    <cacheField name="Manager/Supervisor" numFmtId="0">
      <sharedItems containsBlank="1"/>
    </cacheField>
    <cacheField name="Date of Hire" numFmtId="0">
      <sharedItems containsBlank="1"/>
    </cacheField>
    <cacheField name="Employment Status" numFmtId="0">
      <sharedItems containsBlank="1" count="4">
        <s v="Full-Time"/>
        <s v="Contract"/>
        <s v="Part-Time"/>
        <m/>
      </sharedItems>
    </cacheField>
    <cacheField name="Work Location" numFmtId="0">
      <sharedItems containsBlank="1" count="4">
        <s v="Head Office"/>
        <s v="Branch Office"/>
        <s v="Remote"/>
        <m/>
      </sharedItems>
    </cacheField>
    <cacheField name="Salary" numFmtId="0">
      <sharedItems containsString="0" containsBlank="1" containsNumber="1" containsInteger="1" minValue="30137" maxValue="98961"/>
    </cacheField>
    <cacheField name="Pay Grade" numFmtId="0">
      <sharedItems containsBlank="1"/>
    </cacheField>
    <cacheField name="Bonus/Allowances" numFmtId="0">
      <sharedItems containsString="0" containsBlank="1" containsNumber="1" containsInteger="1" minValue="1024" maxValue="9911"/>
    </cacheField>
    <cacheField name="Insurance Details" numFmtId="0">
      <sharedItems containsBlank="1"/>
    </cacheField>
    <cacheField name="Leave Taken" numFmtId="0">
      <sharedItems containsString="0" containsBlank="1" containsNumber="1" containsInteger="1" minValue="0" maxValue="20"/>
    </cacheField>
    <cacheField name="Performance Rating" numFmtId="0">
      <sharedItems containsString="0" containsBlank="1" containsNumber="1" containsInteger="1" minValue="1" maxValue="5"/>
    </cacheField>
    <cacheField name="Training Programs Attended" numFmtId="0">
      <sharedItems containsBlank="1"/>
    </cacheField>
    <cacheField name="Skills" numFmtId="0">
      <sharedItems containsBlank="1" count="6">
        <s v="Design"/>
        <s v="Management"/>
        <s v="Python"/>
        <s v="Communication"/>
        <s v="Excel"/>
        <m/>
      </sharedItems>
    </cacheField>
    <cacheField name="Certifications" numFmtId="0">
      <sharedItems containsBlank="1"/>
    </cacheField>
  </cacheFields>
  <extLst>
    <ext xmlns:x14="http://schemas.microsoft.com/office/spreadsheetml/2009/9/main" uri="{725AE2AE-9491-48be-B2B4-4EB974FC3084}">
      <x14:pivotCacheDefinition pivotCacheId="1361978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n v="4294"/>
    <s v="Lori Nguyen"/>
    <x v="0"/>
    <x v="0"/>
    <x v="0"/>
    <x v="0"/>
    <x v="0"/>
    <x v="0"/>
    <s v="Luis Reynolds"/>
    <s v="2019-03-15"/>
    <x v="0"/>
    <x v="0"/>
    <n v="53700"/>
    <s v="C"/>
    <n v="1463"/>
    <s v="Health"/>
    <n v="1"/>
    <n v="1"/>
    <s v="Leadership Training"/>
    <x v="0"/>
    <s v="Certified Professional"/>
  </r>
  <r>
    <n v="9116"/>
    <s v="Gary Garcia"/>
    <x v="1"/>
    <x v="1"/>
    <x v="1"/>
    <x v="1"/>
    <x v="1"/>
    <x v="1"/>
    <s v="Ashley Simmons MD"/>
    <s v="2022-12-20"/>
    <x v="0"/>
    <x v="1"/>
    <n v="91091"/>
    <s v="B"/>
    <n v="1024"/>
    <s v="None"/>
    <n v="19"/>
    <n v="4"/>
    <s v="Excel Workshop"/>
    <x v="0"/>
    <s v="Certified Professional"/>
  </r>
  <r>
    <n v="5120"/>
    <s v="Jeremy Nguyen"/>
    <x v="1"/>
    <x v="2"/>
    <x v="1"/>
    <x v="2"/>
    <x v="2"/>
    <x v="2"/>
    <s v="Cassandra Duncan"/>
    <s v="2022-08-10"/>
    <x v="0"/>
    <x v="2"/>
    <n v="57538"/>
    <s v="D"/>
    <n v="1674"/>
    <s v="None"/>
    <n v="8"/>
    <n v="1"/>
    <s v="None"/>
    <x v="1"/>
    <s v="Advanced Training"/>
  </r>
  <r>
    <n v="8071"/>
    <s v="Kimberly Jones"/>
    <x v="0"/>
    <x v="3"/>
    <x v="2"/>
    <x v="2"/>
    <x v="0"/>
    <x v="3"/>
    <s v="Janet Harris"/>
    <s v="2024-09-03"/>
    <x v="1"/>
    <x v="0"/>
    <n v="62993"/>
    <s v="A"/>
    <n v="2695"/>
    <s v="Health + Dental"/>
    <n v="0"/>
    <n v="2"/>
    <s v="None"/>
    <x v="2"/>
    <s v="None"/>
  </r>
  <r>
    <n v="9351"/>
    <s v="Anthony Gates"/>
    <x v="1"/>
    <x v="4"/>
    <x v="3"/>
    <x v="0"/>
    <x v="0"/>
    <x v="2"/>
    <s v="Mr. Frank Clay"/>
    <s v="2019-03-14"/>
    <x v="1"/>
    <x v="1"/>
    <n v="45773"/>
    <s v="A"/>
    <n v="8776"/>
    <s v="Health"/>
    <n v="16"/>
    <n v="4"/>
    <s v="Leadership Training"/>
    <x v="2"/>
    <s v="None"/>
  </r>
  <r>
    <n v="2873"/>
    <s v="Courtney Foster"/>
    <x v="0"/>
    <x v="5"/>
    <x v="1"/>
    <x v="2"/>
    <x v="3"/>
    <x v="2"/>
    <s v="Dorothy Price"/>
    <s v="2017-01-23"/>
    <x v="0"/>
    <x v="1"/>
    <n v="96249"/>
    <s v="C"/>
    <n v="4826"/>
    <s v="Health + Dental"/>
    <n v="7"/>
    <n v="3"/>
    <s v="Leadership Training"/>
    <x v="3"/>
    <s v="Certified Professional"/>
  </r>
  <r>
    <n v="3540"/>
    <s v="Catherine Hall"/>
    <x v="0"/>
    <x v="6"/>
    <x v="0"/>
    <x v="1"/>
    <x v="2"/>
    <x v="2"/>
    <s v="Michele Sexton"/>
    <s v="2024-08-17"/>
    <x v="0"/>
    <x v="2"/>
    <n v="61596"/>
    <s v="C"/>
    <n v="8818"/>
    <s v="Health + Dental"/>
    <n v="4"/>
    <n v="2"/>
    <s v="Leadership Training"/>
    <x v="1"/>
    <s v="None"/>
  </r>
  <r>
    <n v="3653"/>
    <s v="Deanna Ball"/>
    <x v="0"/>
    <x v="7"/>
    <x v="3"/>
    <x v="3"/>
    <x v="1"/>
    <x v="4"/>
    <s v="Richard Schmidt"/>
    <s v="2014-12-09"/>
    <x v="0"/>
    <x v="2"/>
    <n v="97869"/>
    <s v="A"/>
    <n v="1966"/>
    <s v="Health"/>
    <n v="10"/>
    <n v="1"/>
    <s v="Leadership Training"/>
    <x v="0"/>
    <s v="Certified Professional"/>
  </r>
  <r>
    <n v="5587"/>
    <s v="Candace Nelson"/>
    <x v="0"/>
    <x v="8"/>
    <x v="2"/>
    <x v="3"/>
    <x v="2"/>
    <x v="2"/>
    <s v="Teresa Pearson"/>
    <s v="2021-06-28"/>
    <x v="0"/>
    <x v="0"/>
    <n v="81235"/>
    <s v="A"/>
    <n v="6553"/>
    <s v="None"/>
    <n v="16"/>
    <n v="2"/>
    <s v="None"/>
    <x v="1"/>
    <s v="Certified Professional"/>
  </r>
  <r>
    <n v="9554"/>
    <s v="Mandy Davis"/>
    <x v="0"/>
    <x v="9"/>
    <x v="1"/>
    <x v="1"/>
    <x v="2"/>
    <x v="3"/>
    <s v="Laura Hart"/>
    <s v="2018-05-20"/>
    <x v="0"/>
    <x v="1"/>
    <n v="87852"/>
    <s v="A"/>
    <n v="4980"/>
    <s v="Health + Dental"/>
    <n v="19"/>
    <n v="3"/>
    <s v="None"/>
    <x v="2"/>
    <s v="Certified Professional"/>
  </r>
  <r>
    <n v="6213"/>
    <s v="Matthew Powell"/>
    <x v="1"/>
    <x v="10"/>
    <x v="0"/>
    <x v="3"/>
    <x v="0"/>
    <x v="2"/>
    <s v="Andrea May"/>
    <s v="2017-02-13"/>
    <x v="1"/>
    <x v="1"/>
    <n v="59359"/>
    <s v="A"/>
    <n v="9449"/>
    <s v="Health + Dental"/>
    <n v="20"/>
    <n v="3"/>
    <s v="None"/>
    <x v="1"/>
    <s v="None"/>
  </r>
  <r>
    <n v="9105"/>
    <s v="Bruce Nelson"/>
    <x v="1"/>
    <x v="11"/>
    <x v="1"/>
    <x v="0"/>
    <x v="1"/>
    <x v="0"/>
    <s v="Casey Martin"/>
    <s v="2024-05-05"/>
    <x v="1"/>
    <x v="2"/>
    <n v="81225"/>
    <s v="D"/>
    <n v="6202"/>
    <s v="Health + Dental"/>
    <n v="2"/>
    <n v="2"/>
    <s v="Excel Workshop"/>
    <x v="4"/>
    <s v="Certified Professional"/>
  </r>
  <r>
    <n v="9508"/>
    <s v="Dawn Cole"/>
    <x v="0"/>
    <x v="12"/>
    <x v="4"/>
    <x v="1"/>
    <x v="0"/>
    <x v="0"/>
    <s v="Amber Allen"/>
    <s v="2022-04-19"/>
    <x v="1"/>
    <x v="0"/>
    <n v="32788"/>
    <s v="D"/>
    <n v="4396"/>
    <s v="Health"/>
    <n v="13"/>
    <n v="5"/>
    <s v="None"/>
    <x v="3"/>
    <s v="Advanced Training"/>
  </r>
  <r>
    <n v="2436"/>
    <s v="Tanner Morse"/>
    <x v="1"/>
    <x v="13"/>
    <x v="3"/>
    <x v="4"/>
    <x v="0"/>
    <x v="3"/>
    <s v="Adam Johnson"/>
    <s v="2015-11-16"/>
    <x v="1"/>
    <x v="2"/>
    <n v="70452"/>
    <s v="D"/>
    <n v="9911"/>
    <s v="None"/>
    <n v="2"/>
    <n v="1"/>
    <s v="None"/>
    <x v="3"/>
    <s v="Certified Professional"/>
  </r>
  <r>
    <n v="4441"/>
    <s v="Jose Griffin"/>
    <x v="1"/>
    <x v="14"/>
    <x v="4"/>
    <x v="1"/>
    <x v="3"/>
    <x v="0"/>
    <s v="Nicole Dominguez"/>
    <s v="2023-09-09"/>
    <x v="0"/>
    <x v="1"/>
    <n v="33045"/>
    <s v="B"/>
    <n v="1456"/>
    <s v="None"/>
    <n v="16"/>
    <n v="3"/>
    <s v="Excel Workshop"/>
    <x v="3"/>
    <s v="None"/>
  </r>
  <r>
    <n v="5827"/>
    <s v="Daniel Hawkins"/>
    <x v="1"/>
    <x v="15"/>
    <x v="3"/>
    <x v="2"/>
    <x v="3"/>
    <x v="1"/>
    <s v="Andrew Best"/>
    <s v="2017-12-12"/>
    <x v="2"/>
    <x v="2"/>
    <n v="96429"/>
    <s v="C"/>
    <n v="4740"/>
    <s v="None"/>
    <n v="8"/>
    <n v="1"/>
    <s v="Excel Workshop"/>
    <x v="2"/>
    <s v="None"/>
  </r>
  <r>
    <n v="5184"/>
    <s v="Elaine Mcclain"/>
    <x v="0"/>
    <x v="16"/>
    <x v="0"/>
    <x v="1"/>
    <x v="2"/>
    <x v="2"/>
    <s v="Gabrielle Rodriguez"/>
    <s v="2017-03-10"/>
    <x v="2"/>
    <x v="2"/>
    <n v="33183"/>
    <s v="A"/>
    <n v="8114"/>
    <s v="None"/>
    <n v="4"/>
    <n v="2"/>
    <s v="Excel Workshop"/>
    <x v="4"/>
    <s v="Advanced Training"/>
  </r>
  <r>
    <n v="5874"/>
    <s v="Kimberly Jones"/>
    <x v="0"/>
    <x v="17"/>
    <x v="1"/>
    <x v="4"/>
    <x v="3"/>
    <x v="0"/>
    <s v="Allison Harvey"/>
    <s v="2019-03-04"/>
    <x v="2"/>
    <x v="0"/>
    <n v="75065"/>
    <s v="C"/>
    <n v="7123"/>
    <s v="None"/>
    <n v="20"/>
    <n v="2"/>
    <s v="None"/>
    <x v="0"/>
    <s v="Advanced Training"/>
  </r>
  <r>
    <n v="9834"/>
    <s v="Thomas Kramer"/>
    <x v="1"/>
    <x v="3"/>
    <x v="2"/>
    <x v="1"/>
    <x v="1"/>
    <x v="4"/>
    <s v="Tristan Mejia"/>
    <s v="2022-11-20"/>
    <x v="0"/>
    <x v="2"/>
    <n v="32877"/>
    <s v="C"/>
    <n v="6432"/>
    <s v="Health"/>
    <n v="11"/>
    <n v="1"/>
    <s v="None"/>
    <x v="0"/>
    <s v="None"/>
  </r>
  <r>
    <n v="5096"/>
    <s v="Kevin Whitaker"/>
    <x v="1"/>
    <x v="18"/>
    <x v="2"/>
    <x v="1"/>
    <x v="4"/>
    <x v="3"/>
    <s v="Mary Welch"/>
    <s v="2021-03-02"/>
    <x v="0"/>
    <x v="1"/>
    <n v="46811"/>
    <s v="D"/>
    <n v="1567"/>
    <s v="None"/>
    <n v="7"/>
    <n v="3"/>
    <s v="Excel Workshop"/>
    <x v="0"/>
    <s v="Advanced Training"/>
  </r>
  <r>
    <n v="2263"/>
    <s v="Dustin Carter"/>
    <x v="1"/>
    <x v="19"/>
    <x v="1"/>
    <x v="3"/>
    <x v="2"/>
    <x v="1"/>
    <s v="Douglas Miles"/>
    <s v="2021-08-01"/>
    <x v="1"/>
    <x v="1"/>
    <n v="87538"/>
    <s v="C"/>
    <n v="3588"/>
    <s v="Health + Dental"/>
    <n v="11"/>
    <n v="5"/>
    <s v="Excel Workshop"/>
    <x v="2"/>
    <s v="None"/>
  </r>
  <r>
    <n v="6505"/>
    <s v="Nicole Williamson"/>
    <x v="0"/>
    <x v="5"/>
    <x v="1"/>
    <x v="0"/>
    <x v="1"/>
    <x v="4"/>
    <s v="Jessica Fleming"/>
    <s v="2015-08-14"/>
    <x v="0"/>
    <x v="1"/>
    <n v="73002"/>
    <s v="C"/>
    <n v="6296"/>
    <s v="Health"/>
    <n v="2"/>
    <n v="5"/>
    <s v="Excel Workshop"/>
    <x v="1"/>
    <s v="Certified Professional"/>
  </r>
  <r>
    <n v="8626"/>
    <s v="Matthew Knight"/>
    <x v="1"/>
    <x v="20"/>
    <x v="2"/>
    <x v="3"/>
    <x v="1"/>
    <x v="3"/>
    <s v="Christine Lee"/>
    <s v="2015-10-21"/>
    <x v="2"/>
    <x v="2"/>
    <n v="41653"/>
    <s v="D"/>
    <n v="9236"/>
    <s v="None"/>
    <n v="13"/>
    <n v="1"/>
    <s v="Excel Workshop"/>
    <x v="0"/>
    <s v="None"/>
  </r>
  <r>
    <n v="5979"/>
    <s v="Donna Jones"/>
    <x v="0"/>
    <x v="19"/>
    <x v="1"/>
    <x v="0"/>
    <x v="0"/>
    <x v="2"/>
    <s v="Mario Smith DVM"/>
    <s v="2015-03-14"/>
    <x v="1"/>
    <x v="1"/>
    <n v="67582"/>
    <s v="A"/>
    <n v="1375"/>
    <s v="Health"/>
    <n v="20"/>
    <n v="3"/>
    <s v="Excel Workshop"/>
    <x v="1"/>
    <s v="None"/>
  </r>
  <r>
    <n v="3104"/>
    <s v="Carolyn Bullock"/>
    <x v="0"/>
    <x v="10"/>
    <x v="0"/>
    <x v="3"/>
    <x v="1"/>
    <x v="1"/>
    <s v="Joseph Francis"/>
    <s v="2024-05-22"/>
    <x v="2"/>
    <x v="1"/>
    <n v="37351"/>
    <s v="D"/>
    <n v="7858"/>
    <s v="Health + Dental"/>
    <n v="18"/>
    <n v="2"/>
    <s v="Leadership Training"/>
    <x v="1"/>
    <s v="Advanced Training"/>
  </r>
  <r>
    <n v="8967"/>
    <s v="Wendy Gomez"/>
    <x v="0"/>
    <x v="21"/>
    <x v="4"/>
    <x v="4"/>
    <x v="2"/>
    <x v="0"/>
    <s v="Sarah Young"/>
    <s v="2017-03-19"/>
    <x v="0"/>
    <x v="1"/>
    <n v="36721"/>
    <s v="B"/>
    <n v="8820"/>
    <s v="Health + Dental"/>
    <n v="0"/>
    <n v="2"/>
    <s v="Excel Workshop"/>
    <x v="1"/>
    <s v="Certified Professional"/>
  </r>
  <r>
    <n v="5087"/>
    <s v="Michael Thomas"/>
    <x v="1"/>
    <x v="5"/>
    <x v="1"/>
    <x v="2"/>
    <x v="4"/>
    <x v="0"/>
    <s v="Aaron Hart"/>
    <s v="2021-09-15"/>
    <x v="1"/>
    <x v="2"/>
    <n v="46326"/>
    <s v="B"/>
    <n v="9189"/>
    <s v="Health + Dental"/>
    <n v="8"/>
    <n v="4"/>
    <s v="Leadership Training"/>
    <x v="3"/>
    <s v="Advanced Training"/>
  </r>
  <r>
    <n v="3358"/>
    <s v="Kevin Bell"/>
    <x v="1"/>
    <x v="11"/>
    <x v="1"/>
    <x v="1"/>
    <x v="3"/>
    <x v="1"/>
    <s v="Brian Boyd"/>
    <s v="2022-05-09"/>
    <x v="0"/>
    <x v="0"/>
    <n v="59007"/>
    <s v="C"/>
    <n v="3380"/>
    <s v="Health"/>
    <n v="17"/>
    <n v="3"/>
    <s v="None"/>
    <x v="4"/>
    <s v="Certified Professional"/>
  </r>
  <r>
    <n v="8256"/>
    <s v="Richard Landry"/>
    <x v="1"/>
    <x v="14"/>
    <x v="4"/>
    <x v="3"/>
    <x v="0"/>
    <x v="3"/>
    <s v="Steven Krueger"/>
    <s v="2017-06-22"/>
    <x v="0"/>
    <x v="1"/>
    <n v="52020"/>
    <s v="B"/>
    <n v="9585"/>
    <s v="Health + Dental"/>
    <n v="0"/>
    <n v="4"/>
    <s v="Excel Workshop"/>
    <x v="4"/>
    <s v="None"/>
  </r>
  <r>
    <n v="5763"/>
    <s v="George Hurley"/>
    <x v="1"/>
    <x v="8"/>
    <x v="2"/>
    <x v="1"/>
    <x v="2"/>
    <x v="1"/>
    <s v="Debra Williams"/>
    <s v="2020-11-28"/>
    <x v="2"/>
    <x v="1"/>
    <n v="98961"/>
    <s v="D"/>
    <n v="2688"/>
    <s v="Health"/>
    <n v="2"/>
    <n v="5"/>
    <s v="Excel Workshop"/>
    <x v="4"/>
    <s v="Certified Professional"/>
  </r>
  <r>
    <n v="6838"/>
    <s v="Mark Lopez"/>
    <x v="1"/>
    <x v="22"/>
    <x v="2"/>
    <x v="2"/>
    <x v="3"/>
    <x v="2"/>
    <s v="Karen Mitchell"/>
    <s v="2015-08-30"/>
    <x v="2"/>
    <x v="1"/>
    <n v="81943"/>
    <s v="C"/>
    <n v="2255"/>
    <s v="Health"/>
    <n v="18"/>
    <n v="2"/>
    <s v="None"/>
    <x v="2"/>
    <s v="Certified Professional"/>
  </r>
  <r>
    <n v="9544"/>
    <s v="Robert Williams"/>
    <x v="1"/>
    <x v="23"/>
    <x v="4"/>
    <x v="4"/>
    <x v="2"/>
    <x v="1"/>
    <s v="Joseph Sanders"/>
    <s v="2018-10-27"/>
    <x v="2"/>
    <x v="1"/>
    <n v="47627"/>
    <s v="C"/>
    <n v="1221"/>
    <s v="None"/>
    <n v="4"/>
    <n v="3"/>
    <s v="None"/>
    <x v="1"/>
    <s v="None"/>
  </r>
  <r>
    <n v="8012"/>
    <s v="Mary Schmidt"/>
    <x v="0"/>
    <x v="23"/>
    <x v="4"/>
    <x v="0"/>
    <x v="0"/>
    <x v="4"/>
    <s v="Shelly George"/>
    <s v="2018-08-26"/>
    <x v="2"/>
    <x v="1"/>
    <n v="56162"/>
    <s v="D"/>
    <n v="6560"/>
    <s v="Health + Dental"/>
    <n v="9"/>
    <n v="4"/>
    <s v="Excel Workshop"/>
    <x v="3"/>
    <s v="None"/>
  </r>
  <r>
    <n v="9374"/>
    <s v="Mary Martinez"/>
    <x v="0"/>
    <x v="24"/>
    <x v="2"/>
    <x v="1"/>
    <x v="2"/>
    <x v="2"/>
    <s v="Nicole Houston"/>
    <s v="2023-07-24"/>
    <x v="1"/>
    <x v="2"/>
    <n v="95734"/>
    <s v="C"/>
    <n v="4854"/>
    <s v="Health"/>
    <n v="13"/>
    <n v="2"/>
    <s v="Leadership Training"/>
    <x v="0"/>
    <s v="Certified Professional"/>
  </r>
  <r>
    <n v="3487"/>
    <s v="Paul Hall"/>
    <x v="1"/>
    <x v="7"/>
    <x v="3"/>
    <x v="1"/>
    <x v="1"/>
    <x v="3"/>
    <s v="Kristin Shaffer"/>
    <s v="2018-07-09"/>
    <x v="1"/>
    <x v="2"/>
    <n v="74789"/>
    <s v="C"/>
    <n v="8101"/>
    <s v="Health + Dental"/>
    <n v="14"/>
    <n v="5"/>
    <s v="Excel Workshop"/>
    <x v="2"/>
    <s v="None"/>
  </r>
  <r>
    <n v="8445"/>
    <s v="Samantha Foster"/>
    <x v="0"/>
    <x v="16"/>
    <x v="0"/>
    <x v="4"/>
    <x v="0"/>
    <x v="3"/>
    <s v="Joel Aguilar"/>
    <s v="2016-12-21"/>
    <x v="0"/>
    <x v="2"/>
    <n v="30137"/>
    <s v="B"/>
    <n v="4031"/>
    <s v="None"/>
    <n v="5"/>
    <n v="3"/>
    <s v="None"/>
    <x v="1"/>
    <s v="Certified Professional"/>
  </r>
  <r>
    <n v="1550"/>
    <s v="Timothy Aguilar"/>
    <x v="1"/>
    <x v="25"/>
    <x v="0"/>
    <x v="1"/>
    <x v="0"/>
    <x v="0"/>
    <s v="Michael Wade"/>
    <s v="2019-06-27"/>
    <x v="0"/>
    <x v="2"/>
    <n v="95510"/>
    <s v="C"/>
    <n v="6811"/>
    <s v="Health"/>
    <n v="18"/>
    <n v="4"/>
    <s v="Excel Workshop"/>
    <x v="4"/>
    <s v="Certified Professional"/>
  </r>
  <r>
    <n v="9968"/>
    <s v="Charles Andrews"/>
    <x v="1"/>
    <x v="7"/>
    <x v="3"/>
    <x v="1"/>
    <x v="3"/>
    <x v="0"/>
    <s v="Jessica Walsh"/>
    <s v="2021-08-27"/>
    <x v="1"/>
    <x v="0"/>
    <n v="80325"/>
    <s v="B"/>
    <n v="6230"/>
    <s v="Health"/>
    <n v="5"/>
    <n v="4"/>
    <s v="None"/>
    <x v="2"/>
    <s v="Advanced Training"/>
  </r>
  <r>
    <n v="8029"/>
    <s v="Veronica Nelson"/>
    <x v="0"/>
    <x v="15"/>
    <x v="3"/>
    <x v="3"/>
    <x v="4"/>
    <x v="4"/>
    <s v="Kelly Mack"/>
    <s v="2017-05-28"/>
    <x v="2"/>
    <x v="1"/>
    <n v="34109"/>
    <s v="B"/>
    <n v="9232"/>
    <s v="Health"/>
    <n v="13"/>
    <n v="3"/>
    <s v="Leadership Training"/>
    <x v="0"/>
    <s v="Certified Professional"/>
  </r>
  <r>
    <n v="8847"/>
    <s v="Chris Sanchez"/>
    <x v="1"/>
    <x v="3"/>
    <x v="2"/>
    <x v="3"/>
    <x v="3"/>
    <x v="0"/>
    <s v="John Conley"/>
    <s v="2022-01-30"/>
    <x v="2"/>
    <x v="2"/>
    <n v="73330"/>
    <s v="C"/>
    <n v="2276"/>
    <s v="Health + Dental"/>
    <n v="5"/>
    <n v="1"/>
    <s v="None"/>
    <x v="1"/>
    <s v="Advanced Training"/>
  </r>
  <r>
    <n v="1955"/>
    <s v="Cassie Galvan"/>
    <x v="0"/>
    <x v="7"/>
    <x v="3"/>
    <x v="2"/>
    <x v="2"/>
    <x v="1"/>
    <s v="Aaron Baker"/>
    <s v="2017-04-20"/>
    <x v="1"/>
    <x v="2"/>
    <n v="46567"/>
    <s v="A"/>
    <n v="2825"/>
    <s v="Health"/>
    <n v="15"/>
    <n v="3"/>
    <s v="None"/>
    <x v="4"/>
    <s v="Advanced Training"/>
  </r>
  <r>
    <n v="4522"/>
    <s v="Jessica Jones"/>
    <x v="0"/>
    <x v="18"/>
    <x v="2"/>
    <x v="0"/>
    <x v="4"/>
    <x v="0"/>
    <s v="Christopher Bass"/>
    <s v="2019-07-22"/>
    <x v="1"/>
    <x v="1"/>
    <n v="39795"/>
    <s v="A"/>
    <n v="1670"/>
    <s v="None"/>
    <n v="0"/>
    <n v="2"/>
    <s v="Excel Workshop"/>
    <x v="3"/>
    <s v="None"/>
  </r>
  <r>
    <n v="3078"/>
    <s v="Emily Walker"/>
    <x v="0"/>
    <x v="25"/>
    <x v="0"/>
    <x v="0"/>
    <x v="0"/>
    <x v="4"/>
    <s v="Sean Tucker PhD"/>
    <s v="2018-11-29"/>
    <x v="1"/>
    <x v="2"/>
    <n v="59506"/>
    <s v="A"/>
    <n v="4428"/>
    <s v="Health + Dental"/>
    <n v="0"/>
    <n v="1"/>
    <s v="None"/>
    <x v="3"/>
    <s v="Certified Professional"/>
  </r>
  <r>
    <n v="6357"/>
    <s v="Vickie Lewis"/>
    <x v="0"/>
    <x v="14"/>
    <x v="4"/>
    <x v="2"/>
    <x v="1"/>
    <x v="4"/>
    <s v="Jacob Scott"/>
    <s v="2022-11-14"/>
    <x v="1"/>
    <x v="2"/>
    <n v="49058"/>
    <s v="B"/>
    <n v="4396"/>
    <s v="None"/>
    <n v="5"/>
    <n v="1"/>
    <s v="None"/>
    <x v="3"/>
    <s v="None"/>
  </r>
  <r>
    <n v="7951"/>
    <s v="Alexis Clark"/>
    <x v="0"/>
    <x v="18"/>
    <x v="2"/>
    <x v="3"/>
    <x v="2"/>
    <x v="4"/>
    <s v="Joel Park"/>
    <s v="2016-02-23"/>
    <x v="1"/>
    <x v="0"/>
    <n v="98612"/>
    <s v="A"/>
    <n v="1168"/>
    <s v="None"/>
    <n v="9"/>
    <n v="2"/>
    <s v="Excel Workshop"/>
    <x v="0"/>
    <s v="Certified Professional"/>
  </r>
  <r>
    <n v="9228"/>
    <s v="Robert Davis"/>
    <x v="1"/>
    <x v="3"/>
    <x v="2"/>
    <x v="4"/>
    <x v="3"/>
    <x v="1"/>
    <s v="Russell Marshall"/>
    <s v="2018-05-18"/>
    <x v="2"/>
    <x v="1"/>
    <n v="38201"/>
    <s v="A"/>
    <n v="7111"/>
    <s v="Health"/>
    <n v="8"/>
    <n v="4"/>
    <s v="Leadership Training"/>
    <x v="3"/>
    <s v="None"/>
  </r>
  <r>
    <n v="8988"/>
    <s v="Daniel Brown MD"/>
    <x v="1"/>
    <x v="0"/>
    <x v="0"/>
    <x v="0"/>
    <x v="2"/>
    <x v="2"/>
    <s v="James Holden"/>
    <s v="2024-03-09"/>
    <x v="2"/>
    <x v="1"/>
    <n v="92919"/>
    <s v="D"/>
    <n v="9497"/>
    <s v="Health"/>
    <n v="7"/>
    <n v="2"/>
    <s v="None"/>
    <x v="3"/>
    <s v="Advanced Training"/>
  </r>
  <r>
    <n v="1952"/>
    <s v="Anna Payne"/>
    <x v="0"/>
    <x v="9"/>
    <x v="1"/>
    <x v="4"/>
    <x v="0"/>
    <x v="1"/>
    <s v="Thomas Murphy"/>
    <s v="2024-03-27"/>
    <x v="0"/>
    <x v="2"/>
    <n v="45188"/>
    <s v="A"/>
    <n v="9591"/>
    <s v="Health + Dental"/>
    <n v="18"/>
    <n v="3"/>
    <s v="Leadership Training"/>
    <x v="3"/>
    <s v="None"/>
  </r>
  <r>
    <n v="5760"/>
    <s v="Rhonda Pena"/>
    <x v="0"/>
    <x v="26"/>
    <x v="3"/>
    <x v="2"/>
    <x v="1"/>
    <x v="0"/>
    <s v="Mark Abbott"/>
    <s v="2019-12-23"/>
    <x v="0"/>
    <x v="1"/>
    <n v="34927"/>
    <s v="D"/>
    <n v="6996"/>
    <s v="Health + Dental"/>
    <n v="16"/>
    <n v="1"/>
    <s v="Excel Workshop"/>
    <x v="0"/>
    <s v="Certified Professional"/>
  </r>
  <r>
    <n v="5742"/>
    <s v="Nicole Gonzalez"/>
    <x v="0"/>
    <x v="1"/>
    <x v="1"/>
    <x v="0"/>
    <x v="2"/>
    <x v="3"/>
    <s v="Robin Lynch"/>
    <s v="2016-08-25"/>
    <x v="0"/>
    <x v="1"/>
    <n v="33183"/>
    <s v="A"/>
    <n v="1659"/>
    <s v="None"/>
    <n v="11"/>
    <n v="1"/>
    <s v="Leadership Training"/>
    <x v="2"/>
    <s v="None"/>
  </r>
  <r>
    <m/>
    <m/>
    <x v="2"/>
    <x v="27"/>
    <x v="5"/>
    <x v="5"/>
    <x v="5"/>
    <x v="5"/>
    <m/>
    <m/>
    <x v="3"/>
    <x v="3"/>
    <m/>
    <m/>
    <m/>
    <m/>
    <m/>
    <m/>
    <m/>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93AAA7-808E-4866-9B06-5051EDDC9E4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54:K61" firstHeaderRow="1" firstDataRow="1" firstDataCol="1"/>
  <pivotFields count="21">
    <pivotField showAll="0"/>
    <pivotField showAll="0"/>
    <pivotField showAll="0">
      <items count="4">
        <item x="0"/>
        <item x="1"/>
        <item x="2"/>
        <item t="default"/>
      </items>
    </pivotField>
    <pivotField showAll="0"/>
    <pivotField showAll="0"/>
    <pivotField showAll="0"/>
    <pivotField showAll="0"/>
    <pivotField axis="axisRow" showAll="0">
      <items count="7">
        <item x="0"/>
        <item x="1"/>
        <item x="4"/>
        <item x="2"/>
        <item x="3"/>
        <item x="5"/>
        <item t="default"/>
      </items>
    </pivotField>
    <pivotField showAll="0"/>
    <pivotField showAll="0"/>
    <pivotField showAll="0">
      <items count="5">
        <item x="1"/>
        <item x="0"/>
        <item x="2"/>
        <item x="3"/>
        <item t="default"/>
      </items>
    </pivotField>
    <pivotField showAll="0"/>
    <pivotField showAll="0"/>
    <pivotField showAll="0"/>
    <pivotField showAll="0"/>
    <pivotField showAll="0"/>
    <pivotField showAll="0"/>
    <pivotField dataField="1" showAll="0"/>
    <pivotField showAll="0"/>
    <pivotField showAll="0">
      <items count="7">
        <item x="3"/>
        <item x="0"/>
        <item x="4"/>
        <item x="1"/>
        <item x="2"/>
        <item x="5"/>
        <item t="default"/>
      </items>
    </pivotField>
    <pivotField showAll="0"/>
  </pivotFields>
  <rowFields count="1">
    <field x="7"/>
  </rowFields>
  <rowItems count="7">
    <i>
      <x/>
    </i>
    <i>
      <x v="1"/>
    </i>
    <i>
      <x v="2"/>
    </i>
    <i>
      <x v="3"/>
    </i>
    <i>
      <x v="4"/>
    </i>
    <i>
      <x v="5"/>
    </i>
    <i t="grand">
      <x/>
    </i>
  </rowItems>
  <colItems count="1">
    <i/>
  </colItems>
  <dataFields count="1">
    <dataField name="Average of Performance Rating" fld="17" subtotal="average" baseField="7" baseItem="0"/>
  </dataFields>
  <formats count="1">
    <format dxfId="110">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FE488B-5FE7-4B59-B4B5-A8A6EF7ED68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F10" firstHeaderRow="0" firstDataRow="1" firstDataCol="1"/>
  <pivotFields count="21">
    <pivotField showAll="0"/>
    <pivotField showAll="0"/>
    <pivotField showAll="0">
      <items count="4">
        <item x="0"/>
        <item x="1"/>
        <item x="2"/>
        <item t="default"/>
      </items>
    </pivotField>
    <pivotField showAll="0"/>
    <pivotField showAll="0"/>
    <pivotField showAll="0"/>
    <pivotField axis="axisRow" showAll="0">
      <items count="7">
        <item x="4"/>
        <item x="1"/>
        <item x="3"/>
        <item x="2"/>
        <item x="0"/>
        <item x="5"/>
        <item t="default"/>
      </items>
    </pivotField>
    <pivotField showAll="0">
      <items count="7">
        <item x="0"/>
        <item x="1"/>
        <item x="4"/>
        <item x="2"/>
        <item x="3"/>
        <item x="5"/>
        <item t="default"/>
      </items>
    </pivotField>
    <pivotField showAll="0"/>
    <pivotField showAll="0"/>
    <pivotField showAll="0">
      <items count="5">
        <item x="1"/>
        <item x="0"/>
        <item x="2"/>
        <item x="3"/>
        <item t="default"/>
      </items>
    </pivotField>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7">
    <i>
      <x/>
    </i>
    <i>
      <x v="1"/>
    </i>
    <i>
      <x v="2"/>
    </i>
    <i>
      <x v="3"/>
    </i>
    <i>
      <x v="4"/>
    </i>
    <i>
      <x v="5"/>
    </i>
    <i t="grand">
      <x/>
    </i>
  </rowItems>
  <colFields count="1">
    <field x="-2"/>
  </colFields>
  <colItems count="2">
    <i>
      <x/>
    </i>
    <i i="1">
      <x v="1"/>
    </i>
  </colItems>
  <dataFields count="2">
    <dataField name="Sum of Salary" fld="12" baseField="0" baseItem="0"/>
    <dataField name="Sum of Leave Take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7F7A6E-2BF8-4676-A5E8-A68E975505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1">
    <pivotField showAll="0"/>
    <pivotField dataField="1" showAll="0"/>
    <pivotField showAll="0">
      <items count="4">
        <item x="0"/>
        <item x="1"/>
        <item x="2"/>
        <item t="default"/>
      </items>
    </pivotField>
    <pivotField showAll="0"/>
    <pivotField showAll="0"/>
    <pivotField showAll="0"/>
    <pivotField showAll="0"/>
    <pivotField showAll="0">
      <items count="7">
        <item x="0"/>
        <item x="1"/>
        <item x="4"/>
        <item x="2"/>
        <item x="3"/>
        <item x="5"/>
        <item t="default"/>
      </items>
    </pivotField>
    <pivotField showAll="0"/>
    <pivotField showAll="0"/>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Count of Full Name" fld="1" subtotal="count"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0" count="1" selected="0">
            <x v="0"/>
          </reference>
        </references>
      </pivotArea>
    </chartFormat>
    <chartFormat chart="3" format="8">
      <pivotArea type="data" outline="0" fieldPosition="0">
        <references count="2">
          <reference field="4294967294" count="1" selected="0">
            <x v="0"/>
          </reference>
          <reference field="10" count="1" selected="0">
            <x v="1"/>
          </reference>
        </references>
      </pivotArea>
    </chartFormat>
    <chartFormat chart="3" format="9">
      <pivotArea type="data" outline="0" fieldPosition="0">
        <references count="2">
          <reference field="4294967294" count="1" selected="0">
            <x v="0"/>
          </reference>
          <reference field="10" count="1" selected="0">
            <x v="2"/>
          </reference>
        </references>
      </pivotArea>
    </chartFormat>
    <chartFormat chart="3" format="10">
      <pivotArea type="data" outline="0" fieldPosition="0">
        <references count="2">
          <reference field="4294967294" count="1" selected="0">
            <x v="0"/>
          </reference>
          <reference field="10" count="1" selected="0">
            <x v="3"/>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48176A-730D-4AEC-994D-4DD9968E174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44:K51" firstHeaderRow="1" firstDataRow="1" firstDataCol="1"/>
  <pivotFields count="21">
    <pivotField showAll="0"/>
    <pivotField dataField="1" showAll="0"/>
    <pivotField showAll="0">
      <items count="4">
        <item x="0"/>
        <item x="1"/>
        <item x="2"/>
        <item t="default"/>
      </items>
    </pivotField>
    <pivotField showAll="0"/>
    <pivotField showAll="0"/>
    <pivotField showAll="0"/>
    <pivotField showAll="0"/>
    <pivotField showAll="0">
      <items count="7">
        <item x="0"/>
        <item x="1"/>
        <item x="4"/>
        <item x="2"/>
        <item x="3"/>
        <item x="5"/>
        <item t="default"/>
      </items>
    </pivotField>
    <pivotField showAll="0"/>
    <pivotField showAll="0"/>
    <pivotField showAll="0">
      <items count="5">
        <item x="1"/>
        <item x="0"/>
        <item x="2"/>
        <item x="3"/>
        <item t="default"/>
      </items>
    </pivotField>
    <pivotField showAll="0"/>
    <pivotField showAll="0"/>
    <pivotField showAll="0"/>
    <pivotField showAll="0"/>
    <pivotField showAll="0"/>
    <pivotField showAll="0"/>
    <pivotField showAll="0"/>
    <pivotField showAll="0"/>
    <pivotField axis="axisRow" showAll="0">
      <items count="7">
        <item x="3"/>
        <item x="0"/>
        <item x="4"/>
        <item x="1"/>
        <item x="2"/>
        <item x="5"/>
        <item t="default"/>
      </items>
    </pivotField>
    <pivotField showAll="0"/>
  </pivotFields>
  <rowFields count="1">
    <field x="19"/>
  </rowFields>
  <rowItems count="7">
    <i>
      <x/>
    </i>
    <i>
      <x v="1"/>
    </i>
    <i>
      <x v="2"/>
    </i>
    <i>
      <x v="3"/>
    </i>
    <i>
      <x v="4"/>
    </i>
    <i>
      <x v="5"/>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E88F58-4B3E-4FB5-B2C7-879F38D8782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43:H50" firstHeaderRow="1" firstDataRow="1" firstDataCol="1"/>
  <pivotFields count="21">
    <pivotField showAll="0"/>
    <pivotField dataField="1" showAll="0"/>
    <pivotField showAll="0">
      <items count="4">
        <item x="0"/>
        <item x="1"/>
        <item x="2"/>
        <item t="default"/>
      </items>
    </pivotField>
    <pivotField showAll="0"/>
    <pivotField showAll="0"/>
    <pivotField showAll="0"/>
    <pivotField showAll="0"/>
    <pivotField showAll="0">
      <items count="7">
        <item x="0"/>
        <item x="1"/>
        <item x="4"/>
        <item x="2"/>
        <item x="3"/>
        <item x="5"/>
        <item t="default"/>
      </items>
    </pivotField>
    <pivotField showAll="0"/>
    <pivotField showAll="0"/>
    <pivotField showAll="0">
      <items count="5">
        <item x="1"/>
        <item x="0"/>
        <item x="2"/>
        <item x="3"/>
        <item t="default"/>
      </items>
    </pivotField>
    <pivotField showAll="0"/>
    <pivotField showAll="0"/>
    <pivotField showAll="0"/>
    <pivotField showAll="0"/>
    <pivotField showAll="0"/>
    <pivotField showAll="0"/>
    <pivotField showAll="0"/>
    <pivotField showAll="0"/>
    <pivotField axis="axisRow" showAll="0">
      <items count="7">
        <item x="3"/>
        <item x="0"/>
        <item x="4"/>
        <item x="1"/>
        <item x="2"/>
        <item x="5"/>
        <item t="default"/>
      </items>
    </pivotField>
    <pivotField showAll="0"/>
  </pivotFields>
  <rowFields count="1">
    <field x="19"/>
  </rowFields>
  <rowItems count="7">
    <i>
      <x/>
    </i>
    <i>
      <x v="1"/>
    </i>
    <i>
      <x v="2"/>
    </i>
    <i>
      <x v="3"/>
    </i>
    <i>
      <x v="4"/>
    </i>
    <i>
      <x v="5"/>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237258-DB22-4872-BC40-3F14C6F7B62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2:C37" firstHeaderRow="1" firstDataRow="1" firstDataCol="1"/>
  <pivotFields count="21">
    <pivotField showAll="0"/>
    <pivotField dataField="1" showAll="0"/>
    <pivotField showAll="0">
      <items count="4">
        <item x="0"/>
        <item x="1"/>
        <item x="2"/>
        <item t="default"/>
      </items>
    </pivotField>
    <pivotField showAll="0"/>
    <pivotField showAll="0"/>
    <pivotField showAll="0"/>
    <pivotField showAll="0">
      <items count="7">
        <item x="4"/>
        <item x="1"/>
        <item x="3"/>
        <item x="2"/>
        <item x="0"/>
        <item x="5"/>
        <item t="default"/>
      </items>
    </pivotField>
    <pivotField showAll="0">
      <items count="7">
        <item x="0"/>
        <item x="1"/>
        <item x="4"/>
        <item x="2"/>
        <item x="3"/>
        <item x="5"/>
        <item t="default"/>
      </items>
    </pivotField>
    <pivotField showAll="0"/>
    <pivotField showAll="0"/>
    <pivotField showAll="0">
      <items count="5">
        <item x="1"/>
        <item x="0"/>
        <item x="2"/>
        <item x="3"/>
        <item t="default"/>
      </items>
    </pivotField>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3AE19D-E7B9-4A9D-8CFB-5A780BB8B73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1:B58" firstHeaderRow="1" firstDataRow="1" firstDataCol="1"/>
  <pivotFields count="21">
    <pivotField showAll="0"/>
    <pivotField dataField="1" showAll="0"/>
    <pivotField showAll="0">
      <items count="4">
        <item x="0"/>
        <item x="1"/>
        <item x="2"/>
        <item t="default"/>
      </items>
    </pivotField>
    <pivotField showAll="0"/>
    <pivotField showAll="0"/>
    <pivotField axis="axisRow" showAll="0">
      <items count="7">
        <item x="1"/>
        <item x="0"/>
        <item x="4"/>
        <item x="3"/>
        <item x="2"/>
        <item x="5"/>
        <item t="default"/>
      </items>
    </pivotField>
    <pivotField showAll="0"/>
    <pivotField showAll="0">
      <items count="7">
        <item x="0"/>
        <item x="1"/>
        <item x="4"/>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Count of Full Name" fld="1" subtotal="count"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2E2826-2DEA-4287-93A1-2BF4E293EF2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8:F26" firstHeaderRow="1" firstDataRow="2" firstDataCol="1"/>
  <pivotFields count="21">
    <pivotField showAll="0"/>
    <pivotField dataField="1" showAll="0"/>
    <pivotField axis="axisCol" showAll="0">
      <items count="4">
        <item x="0"/>
        <item x="1"/>
        <item x="2"/>
        <item t="default"/>
      </items>
    </pivotField>
    <pivotField showAll="0">
      <items count="29">
        <item x="6"/>
        <item x="25"/>
        <item x="10"/>
        <item x="16"/>
        <item x="0"/>
        <item x="1"/>
        <item x="5"/>
        <item x="9"/>
        <item x="11"/>
        <item x="19"/>
        <item x="2"/>
        <item x="17"/>
        <item x="18"/>
        <item x="20"/>
        <item x="3"/>
        <item x="24"/>
        <item x="8"/>
        <item x="22"/>
        <item x="14"/>
        <item x="21"/>
        <item x="12"/>
        <item x="23"/>
        <item x="4"/>
        <item x="15"/>
        <item x="7"/>
        <item x="26"/>
        <item x="13"/>
        <item x="27"/>
        <item t="default"/>
      </items>
    </pivotField>
    <pivotField axis="axisRow" showAll="0">
      <items count="7">
        <item x="0"/>
        <item x="1"/>
        <item x="2"/>
        <item x="4"/>
        <item x="3"/>
        <item x="5"/>
        <item t="default"/>
      </items>
    </pivotField>
    <pivotField showAll="0"/>
    <pivotField showAll="0">
      <items count="7">
        <item x="4"/>
        <item x="1"/>
        <item x="3"/>
        <item x="2"/>
        <item x="0"/>
        <item x="5"/>
        <item t="default"/>
      </items>
    </pivotField>
    <pivotField showAll="0">
      <items count="7">
        <item x="0"/>
        <item x="1"/>
        <item x="4"/>
        <item x="2"/>
        <item x="3"/>
        <item x="5"/>
        <item t="default"/>
      </items>
    </pivotField>
    <pivotField showAll="0"/>
    <pivotField showAll="0"/>
    <pivotField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Fields count="1">
    <field x="2"/>
  </colFields>
  <colItems count="4">
    <i>
      <x/>
    </i>
    <i>
      <x v="1"/>
    </i>
    <i>
      <x v="2"/>
    </i>
    <i t="grand">
      <x/>
    </i>
  </colItems>
  <dataFields count="1">
    <dataField name="Count of Full Name" fld="1" subtotal="count" baseField="0" baseItem="0"/>
  </dataFields>
  <formats count="10">
    <format dxfId="120">
      <pivotArea type="all" dataOnly="0" outline="0" fieldPosition="0"/>
    </format>
    <format dxfId="119">
      <pivotArea outline="0" collapsedLevelsAreSubtotals="1" fieldPosition="0"/>
    </format>
    <format dxfId="118">
      <pivotArea type="origin" dataOnly="0" labelOnly="1" outline="0" fieldPosition="0"/>
    </format>
    <format dxfId="117">
      <pivotArea field="2" type="button" dataOnly="0" labelOnly="1" outline="0" axis="axisCol" fieldPosition="0"/>
    </format>
    <format dxfId="116">
      <pivotArea type="topRight" dataOnly="0" labelOnly="1" outline="0" fieldPosition="0"/>
    </format>
    <format dxfId="115">
      <pivotArea field="4" type="button" dataOnly="0" labelOnly="1" outline="0" axis="axisRow" fieldPosition="0"/>
    </format>
    <format dxfId="114">
      <pivotArea dataOnly="0" labelOnly="1" fieldPosition="0">
        <references count="1">
          <reference field="4" count="0"/>
        </references>
      </pivotArea>
    </format>
    <format dxfId="113">
      <pivotArea dataOnly="0" labelOnly="1" grandRow="1" outline="0" fieldPosition="0"/>
    </format>
    <format dxfId="112">
      <pivotArea dataOnly="0" labelOnly="1" fieldPosition="0">
        <references count="1">
          <reference field="2" count="0"/>
        </references>
      </pivotArea>
    </format>
    <format dxfId="111">
      <pivotArea dataOnly="0" labelOnly="1" grandCol="1" outline="0" fieldPosition="0"/>
    </format>
  </formats>
  <chartFormats count="6">
    <chartFormat chart="5" format="0" series="1">
      <pivotArea type="data" outline="0" fieldPosition="0">
        <references count="2">
          <reference field="4294967294" count="1" selected="0">
            <x v="0"/>
          </reference>
          <reference field="2" count="1" selected="0">
            <x v="0"/>
          </reference>
        </references>
      </pivotArea>
    </chartFormat>
    <chartFormat chart="5" format="1" series="1">
      <pivotArea type="data" outline="0" fieldPosition="0">
        <references count="2">
          <reference field="4294967294" count="1" selected="0">
            <x v="0"/>
          </reference>
          <reference field="2" count="1" selected="0">
            <x v="1"/>
          </reference>
        </references>
      </pivotArea>
    </chartFormat>
    <chartFormat chart="5" format="2" series="1">
      <pivotArea type="data" outline="0" fieldPosition="0">
        <references count="2">
          <reference field="4294967294" count="1" selected="0">
            <x v="0"/>
          </reference>
          <reference field="2" count="1" selected="0">
            <x v="2"/>
          </reference>
        </references>
      </pivotArea>
    </chartFormat>
    <chartFormat chart="8" format="6" series="1">
      <pivotArea type="data" outline="0" fieldPosition="0">
        <references count="2">
          <reference field="4294967294" count="1" selected="0">
            <x v="0"/>
          </reference>
          <reference field="2" count="1" selected="0">
            <x v="0"/>
          </reference>
        </references>
      </pivotArea>
    </chartFormat>
    <chartFormat chart="8" format="7" series="1">
      <pivotArea type="data" outline="0" fieldPosition="0">
        <references count="2">
          <reference field="4294967294" count="1" selected="0">
            <x v="0"/>
          </reference>
          <reference field="2" count="1" selected="0">
            <x v="1"/>
          </reference>
        </references>
      </pivotArea>
    </chartFormat>
    <chartFormat chart="8"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085DED6-C10C-403B-A4B1-A87D392690B5}" sourceName="Gender">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s>
  <data>
    <tabular pivotCacheId="136197885">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918CBF3-8C85-4251-8432-39FFD16E085D}" sourceName="Department">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s>
  <data>
    <tabular pivotCacheId="136197885">
      <items count="6">
        <i x="0" s="1"/>
        <i x="1" s="1"/>
        <i x="4" s="1"/>
        <i x="2" s="1"/>
        <i x="3"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A9E00E8-142B-4C24-93F3-6F7F33FED041}" cache="Slicer_Gender" caption="Gender" rowHeight="247650"/>
  <slicer name="Department" xr10:uid="{C7B774B7-43D8-41DB-9742-097C7EBB3044}" cache="Slicer_Department" caption="Departmen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8D1C3C6-03EC-4D5B-8DCB-5D65A6948C2E}" cache="Slicer_Gender" caption="Gender" columnCount="2" style="Slicer Style 3" rowHeight="247650"/>
  <slicer name="Department 1" xr10:uid="{A8EDF501-6526-4CCD-BD6E-99E887B7F775}" cache="Slicer_Department" caption="Department" columnCount="3" style="Slicer Style 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143" dataDxfId="142">
  <autoFilter ref="A1:U51" xr:uid="{BD7F130C-4931-4EC9-8AE2-A64F6556D3A3}"/>
  <tableColumns count="21">
    <tableColumn id="1" xr3:uid="{6BDBB43D-1DF4-4FF3-9C56-0E3D699A83FC}" name="Employee ID" dataDxfId="141"/>
    <tableColumn id="2" xr3:uid="{363D91B7-21AD-4B4B-86DE-95D24769EAA5}" name="Full Name" dataDxfId="140"/>
    <tableColumn id="3" xr3:uid="{728245EC-9766-45F5-9851-7FEFEFBE2652}" name="Gender" dataDxfId="139"/>
    <tableColumn id="4" xr3:uid="{DD8A90D1-163F-4B0E-A039-9E7A16AFC106}" name="Age" dataDxfId="138"/>
    <tableColumn id="5" xr3:uid="{0672993B-A00D-49AE-84B7-674089468A17}" name="Age range" dataDxfId="137"/>
    <tableColumn id="6" xr3:uid="{B1ADEE80-60F1-4EE3-B3FB-8484EE6C17B3}" name="Region" dataDxfId="136"/>
    <tableColumn id="7" xr3:uid="{8E0A56EE-3456-4513-ADA0-27F6CAA8C17B}" name="Job Title" dataDxfId="135"/>
    <tableColumn id="8" xr3:uid="{0D9D5DB9-01CB-4300-B0CD-256901621ADC}" name="Department" dataDxfId="134"/>
    <tableColumn id="9" xr3:uid="{9EBDAC3F-6A39-4A78-B562-848691EE3AD1}" name="Manager/Supervisor" dataDxfId="133"/>
    <tableColumn id="10" xr3:uid="{AF849F24-150A-4123-B3F8-A46B4D4F7BC6}" name="Date of Hire" dataDxfId="132"/>
    <tableColumn id="11" xr3:uid="{8C57202E-334A-462A-9C44-E5E2468122E4}" name="Employment Status" dataDxfId="131"/>
    <tableColumn id="12" xr3:uid="{8A07812C-245C-4D55-A210-3AE7E0BB84EB}" name="Work Location" dataDxfId="130"/>
    <tableColumn id="13" xr3:uid="{6441036C-01DD-4130-8E4B-DBA441BCB744}" name="Salary" dataDxfId="129"/>
    <tableColumn id="14" xr3:uid="{ADCF531A-A98E-422C-939D-04D58C2423FB}" name="Pay Grade" dataDxfId="128"/>
    <tableColumn id="15" xr3:uid="{DE922695-AE31-4F31-8F89-61E6E7E646AB}" name="Bonus/Allowances" dataDxfId="127"/>
    <tableColumn id="16" xr3:uid="{62F2B816-9954-4A01-AEDC-4C13B3A2A52F}" name="Insurance Details" dataDxfId="126"/>
    <tableColumn id="17" xr3:uid="{6EFEC335-9B75-45D5-B403-A8A9E557BE24}" name="Leave Taken" dataDxfId="125"/>
    <tableColumn id="18" xr3:uid="{9DA1B78E-154E-42E4-A1BC-FE1CF363DCBA}" name="Performance Rating" dataDxfId="124"/>
    <tableColumn id="19" xr3:uid="{7E4B5E79-5639-4E3A-91A1-D1D8767BB705}" name="Training Programs Attended" dataDxfId="123"/>
    <tableColumn id="20" xr3:uid="{2E731344-8C6D-4001-9E36-F16B80500F61}" name="Skills" dataDxfId="122"/>
    <tableColumn id="21" xr3:uid="{9DCE550B-F788-4423-B330-CAB70C041DFC}" name="Certifications" dataDxfId="12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workbookViewId="0">
      <selection activeCell="B2" sqref="B2"/>
    </sheetView>
  </sheetViews>
  <sheetFormatPr defaultColWidth="9.109375" defaultRowHeight="13.8"/>
  <cols>
    <col min="1" max="1" width="17.6640625" style="2" bestFit="1" customWidth="1"/>
    <col min="2" max="2" width="18.109375" style="2" bestFit="1" customWidth="1"/>
    <col min="3" max="3" width="12.88671875" style="2" bestFit="1" customWidth="1"/>
    <col min="4" max="4" width="9.5546875" style="2" bestFit="1" customWidth="1"/>
    <col min="5" max="5" width="15.88671875" style="2" bestFit="1" customWidth="1"/>
    <col min="6" max="6" width="12.33203125" style="2" bestFit="1" customWidth="1"/>
    <col min="7" max="7" width="14.109375" style="2" bestFit="1" customWidth="1"/>
    <col min="8" max="8" width="17.44140625" style="2" bestFit="1" customWidth="1"/>
    <col min="9" max="9" width="25.6640625" style="2" bestFit="1" customWidth="1"/>
    <col min="10" max="10" width="18" style="2" bestFit="1" customWidth="1"/>
    <col min="11" max="11" width="25" style="2" bestFit="1" customWidth="1"/>
    <col min="12" max="12" width="20.33203125" style="2" bestFit="1" customWidth="1"/>
    <col min="13" max="13" width="11.88671875" style="2" bestFit="1" customWidth="1"/>
    <col min="14" max="14" width="16.109375" style="2" bestFit="1" customWidth="1"/>
    <col min="15" max="15" width="24" style="2" bestFit="1" customWidth="1"/>
    <col min="16" max="16" width="22.6640625" style="2" bestFit="1" customWidth="1"/>
    <col min="17" max="17" width="18.109375" style="2" bestFit="1" customWidth="1"/>
    <col min="18" max="18" width="25.44140625" style="2" bestFit="1" customWidth="1"/>
    <col min="19" max="19" width="34" style="2" bestFit="1" customWidth="1"/>
    <col min="20" max="20" width="16" style="2" bestFit="1" customWidth="1"/>
    <col min="21" max="21" width="21.109375" style="2" bestFit="1" customWidth="1"/>
    <col min="22" max="16384" width="9.10937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476F6-D63E-43FA-8214-B9C5487A3D30}">
  <dimension ref="A3:K68"/>
  <sheetViews>
    <sheetView workbookViewId="0">
      <selection activeCell="C12" sqref="C12"/>
    </sheetView>
  </sheetViews>
  <sheetFormatPr defaultRowHeight="14.4"/>
  <cols>
    <col min="1" max="1" width="12.44140625" bestFit="1" customWidth="1"/>
    <col min="2" max="3" width="16.6640625" bestFit="1" customWidth="1"/>
    <col min="4" max="4" width="5.5546875" bestFit="1" customWidth="1"/>
    <col min="5" max="5" width="7.5546875" bestFit="1" customWidth="1"/>
    <col min="6" max="6" width="12.21875" bestFit="1" customWidth="1"/>
    <col min="7" max="7" width="13.88671875" bestFit="1" customWidth="1"/>
    <col min="8" max="8" width="16.6640625" bestFit="1" customWidth="1"/>
    <col min="10" max="10" width="12.44140625" bestFit="1" customWidth="1"/>
    <col min="11" max="11" width="26.44140625" bestFit="1" customWidth="1"/>
  </cols>
  <sheetData>
    <row r="3" spans="1:8">
      <c r="A3" s="5" t="s">
        <v>214</v>
      </c>
      <c r="B3" t="s">
        <v>217</v>
      </c>
      <c r="D3" s="5" t="s">
        <v>214</v>
      </c>
      <c r="E3" t="s">
        <v>218</v>
      </c>
      <c r="F3" t="s">
        <v>223</v>
      </c>
    </row>
    <row r="4" spans="1:8">
      <c r="A4" s="6" t="s">
        <v>63</v>
      </c>
      <c r="B4" s="7">
        <v>17</v>
      </c>
      <c r="D4" s="6" t="s">
        <v>121</v>
      </c>
      <c r="E4" s="7">
        <v>167041</v>
      </c>
      <c r="F4" s="7">
        <v>28</v>
      </c>
    </row>
    <row r="5" spans="1:8">
      <c r="A5" s="6" t="s">
        <v>29</v>
      </c>
      <c r="B5" s="7">
        <v>20</v>
      </c>
      <c r="D5" s="6" t="s">
        <v>40</v>
      </c>
      <c r="E5" s="7">
        <v>613842</v>
      </c>
      <c r="F5" s="7">
        <v>110</v>
      </c>
      <c r="G5" s="6" t="s">
        <v>121</v>
      </c>
      <c r="H5">
        <f>IFERROR(GETPIVOTDATA("Sum of Leave Taken",$D$3,"Job Title","Analyst"),"0")</f>
        <v>28</v>
      </c>
    </row>
    <row r="6" spans="1:8">
      <c r="A6" s="6" t="s">
        <v>111</v>
      </c>
      <c r="B6" s="7">
        <v>13</v>
      </c>
      <c r="D6" s="6" t="s">
        <v>72</v>
      </c>
      <c r="E6" s="7">
        <v>633594</v>
      </c>
      <c r="F6" s="7">
        <v>104</v>
      </c>
      <c r="G6" s="6" t="s">
        <v>40</v>
      </c>
      <c r="H6">
        <f>IFERROR(GETPIVOTDATA("Sum of Leave Taken",$D$3,"Job Title","Designer"),"0")</f>
        <v>110</v>
      </c>
    </row>
    <row r="7" spans="1:8">
      <c r="A7" s="6" t="s">
        <v>215</v>
      </c>
      <c r="B7" s="7"/>
      <c r="D7" s="6" t="s">
        <v>50</v>
      </c>
      <c r="E7" s="7">
        <v>959266</v>
      </c>
      <c r="F7" s="7">
        <v>123</v>
      </c>
      <c r="G7" s="6" t="s">
        <v>72</v>
      </c>
      <c r="H7">
        <f>IFERROR(GETPIVOTDATA("Sum of Leave Taken",$D$3,"Job Title","Developer"),"0")</f>
        <v>104</v>
      </c>
    </row>
    <row r="8" spans="1:8">
      <c r="A8" s="6" t="s">
        <v>216</v>
      </c>
      <c r="B8" s="7">
        <v>50</v>
      </c>
      <c r="D8" s="6" t="s">
        <v>25</v>
      </c>
      <c r="E8" s="7">
        <v>731170</v>
      </c>
      <c r="F8" s="7">
        <v>122</v>
      </c>
      <c r="G8" s="6" t="s">
        <v>50</v>
      </c>
      <c r="H8">
        <f>IFERROR(GETPIVOTDATA("Sum of Leave Taken",$D$3,"Job Title","HR Specialist"),"0")</f>
        <v>123</v>
      </c>
    </row>
    <row r="9" spans="1:8">
      <c r="D9" s="6" t="s">
        <v>215</v>
      </c>
      <c r="E9" s="7"/>
      <c r="F9" s="7"/>
      <c r="G9" s="6" t="s">
        <v>25</v>
      </c>
      <c r="H9">
        <f>IFERROR(GETPIVOTDATA("Sum of Leave Taken",$D$3,"Job Title","Manager"),"0")</f>
        <v>122</v>
      </c>
    </row>
    <row r="10" spans="1:8">
      <c r="D10" s="6" t="s">
        <v>216</v>
      </c>
      <c r="E10" s="7">
        <v>3104913</v>
      </c>
      <c r="F10" s="7">
        <v>487</v>
      </c>
      <c r="G10" s="6" t="s">
        <v>222</v>
      </c>
      <c r="H10">
        <f>SUM(H5:H9)</f>
        <v>487</v>
      </c>
    </row>
    <row r="12" spans="1:8">
      <c r="H12" t="s">
        <v>219</v>
      </c>
    </row>
    <row r="18" spans="2:6">
      <c r="B18" s="9" t="s">
        <v>217</v>
      </c>
      <c r="C18" s="9" t="s">
        <v>220</v>
      </c>
      <c r="D18" s="10"/>
      <c r="E18" s="10"/>
      <c r="F18" s="10"/>
    </row>
    <row r="19" spans="2:6">
      <c r="B19" s="9" t="s">
        <v>214</v>
      </c>
      <c r="C19" s="10" t="s">
        <v>22</v>
      </c>
      <c r="D19" s="10" t="s">
        <v>37</v>
      </c>
      <c r="E19" s="10" t="s">
        <v>215</v>
      </c>
      <c r="F19" s="10" t="s">
        <v>216</v>
      </c>
    </row>
    <row r="20" spans="2:6">
      <c r="B20" s="11" t="s">
        <v>23</v>
      </c>
      <c r="C20" s="12">
        <v>6</v>
      </c>
      <c r="D20" s="12">
        <v>3</v>
      </c>
      <c r="E20" s="12"/>
      <c r="F20" s="12">
        <v>9</v>
      </c>
    </row>
    <row r="21" spans="2:6">
      <c r="B21" s="11" t="s">
        <v>38</v>
      </c>
      <c r="C21" s="12">
        <v>7</v>
      </c>
      <c r="D21" s="12">
        <v>6</v>
      </c>
      <c r="E21" s="12"/>
      <c r="F21" s="12">
        <v>13</v>
      </c>
    </row>
    <row r="22" spans="2:6">
      <c r="B22" s="11" t="s">
        <v>59</v>
      </c>
      <c r="C22" s="12">
        <v>5</v>
      </c>
      <c r="D22" s="12">
        <v>7</v>
      </c>
      <c r="E22" s="12"/>
      <c r="F22" s="12">
        <v>12</v>
      </c>
    </row>
    <row r="23" spans="2:6">
      <c r="B23" s="11" t="s">
        <v>98</v>
      </c>
      <c r="C23" s="12">
        <v>4</v>
      </c>
      <c r="D23" s="12">
        <v>3</v>
      </c>
      <c r="E23" s="12"/>
      <c r="F23" s="12">
        <v>7</v>
      </c>
    </row>
    <row r="24" spans="2:6">
      <c r="B24" s="11" t="s">
        <v>68</v>
      </c>
      <c r="C24" s="12">
        <v>4</v>
      </c>
      <c r="D24" s="12">
        <v>5</v>
      </c>
      <c r="E24" s="12"/>
      <c r="F24" s="12">
        <v>9</v>
      </c>
    </row>
    <row r="25" spans="2:6">
      <c r="B25" s="11" t="s">
        <v>215</v>
      </c>
      <c r="C25" s="12"/>
      <c r="D25" s="12"/>
      <c r="E25" s="12"/>
      <c r="F25" s="12"/>
    </row>
    <row r="26" spans="2:6">
      <c r="B26" s="11" t="s">
        <v>216</v>
      </c>
      <c r="C26" s="12">
        <v>26</v>
      </c>
      <c r="D26" s="12">
        <v>24</v>
      </c>
      <c r="E26" s="12"/>
      <c r="F26" s="12">
        <v>50</v>
      </c>
    </row>
    <row r="27" spans="2:6">
      <c r="B27" s="10"/>
      <c r="C27" s="10"/>
      <c r="D27" s="10"/>
      <c r="E27" s="10"/>
      <c r="F27" s="10"/>
    </row>
    <row r="28" spans="2:6">
      <c r="B28" s="11" t="s">
        <v>37</v>
      </c>
      <c r="C28" s="10">
        <f>IFERROR(GETPIVOTDATA("Full Name",$B$18,"Gender","Female"),"0")</f>
        <v>26</v>
      </c>
      <c r="D28" s="13">
        <f t="shared" ref="D28:D29" si="0">SUM(C28)/SUM($C$28:$C$29)</f>
        <v>0.52</v>
      </c>
      <c r="E28" s="16">
        <f>1-D28</f>
        <v>0.48</v>
      </c>
      <c r="F28" s="10"/>
    </row>
    <row r="29" spans="2:6">
      <c r="B29" s="11" t="s">
        <v>221</v>
      </c>
      <c r="C29" s="10">
        <f>IFERROR(GETPIVOTDATA("Full Name",$B$18,"Gender","Male"),"0")</f>
        <v>24</v>
      </c>
      <c r="D29" s="13">
        <f t="shared" si="0"/>
        <v>0.48</v>
      </c>
      <c r="E29" s="16">
        <f>1-D29</f>
        <v>0.52</v>
      </c>
      <c r="F29" s="10"/>
    </row>
    <row r="30" spans="2:6">
      <c r="C30" s="8">
        <f>SUM(C28:C29)/SUM($C$28:$C$29)</f>
        <v>1</v>
      </c>
    </row>
    <row r="32" spans="2:6">
      <c r="B32" s="5" t="s">
        <v>214</v>
      </c>
      <c r="C32" t="s">
        <v>217</v>
      </c>
    </row>
    <row r="33" spans="2:11">
      <c r="B33" s="6" t="s">
        <v>44</v>
      </c>
      <c r="C33" s="7">
        <v>23</v>
      </c>
      <c r="D33" s="6" t="s">
        <v>44</v>
      </c>
      <c r="E33" s="7">
        <f>IFERROR(GETPIVOTDATA("Full Name",$B$32,"Work Location","Branch Office"),"0")</f>
        <v>23</v>
      </c>
    </row>
    <row r="34" spans="2:11">
      <c r="B34" s="6" t="s">
        <v>30</v>
      </c>
      <c r="C34" s="7">
        <v>8</v>
      </c>
      <c r="D34" s="6" t="s">
        <v>30</v>
      </c>
      <c r="E34" s="7">
        <f>IFERROR(GETPIVOTDATA("Full Name",$B$32,"Work Location","Head Office"),"0")</f>
        <v>8</v>
      </c>
      <c r="G34" t="s">
        <v>214</v>
      </c>
      <c r="H34" t="s">
        <v>218</v>
      </c>
    </row>
    <row r="35" spans="2:11">
      <c r="B35" s="6" t="s">
        <v>54</v>
      </c>
      <c r="C35" s="7">
        <v>19</v>
      </c>
      <c r="D35" s="6" t="s">
        <v>54</v>
      </c>
      <c r="E35" s="7">
        <f>IFERROR(GETPIVOTDATA("Full Name",$B$32,"Work Location","Remote"),"0")</f>
        <v>19</v>
      </c>
      <c r="G35" s="6" t="s">
        <v>121</v>
      </c>
      <c r="H35" s="7">
        <v>167041</v>
      </c>
    </row>
    <row r="36" spans="2:11">
      <c r="B36" s="6" t="s">
        <v>215</v>
      </c>
      <c r="C36" s="7"/>
      <c r="D36" s="6" t="s">
        <v>225</v>
      </c>
      <c r="E36">
        <f>SUM(E33:E35)</f>
        <v>50</v>
      </c>
      <c r="G36" s="6" t="s">
        <v>40</v>
      </c>
      <c r="H36" s="7">
        <v>613842</v>
      </c>
    </row>
    <row r="37" spans="2:11">
      <c r="B37" s="6" t="s">
        <v>216</v>
      </c>
      <c r="C37" s="7">
        <v>50</v>
      </c>
      <c r="G37" s="6" t="s">
        <v>72</v>
      </c>
      <c r="H37" s="7">
        <v>633594</v>
      </c>
    </row>
    <row r="38" spans="2:11">
      <c r="G38" s="6" t="s">
        <v>50</v>
      </c>
      <c r="H38" s="7">
        <v>959266</v>
      </c>
    </row>
    <row r="39" spans="2:11">
      <c r="B39" s="6"/>
      <c r="C39" s="15"/>
      <c r="D39" s="8"/>
      <c r="E39" s="8"/>
      <c r="G39" s="6" t="s">
        <v>25</v>
      </c>
      <c r="H39" s="7">
        <v>731170</v>
      </c>
    </row>
    <row r="40" spans="2:11">
      <c r="B40" s="6"/>
      <c r="D40" s="8"/>
      <c r="E40" s="8"/>
      <c r="G40" s="6" t="s">
        <v>215</v>
      </c>
      <c r="H40" s="7"/>
    </row>
    <row r="41" spans="2:11">
      <c r="B41" s="6"/>
      <c r="D41" s="8"/>
      <c r="E41" s="8"/>
    </row>
    <row r="43" spans="2:11">
      <c r="B43" s="6" t="s">
        <v>44</v>
      </c>
      <c r="C43">
        <f>IFERROR(GETPIVOTDATA("Full Name",$B$32,"Work Location","Branch Office"),"0")</f>
        <v>23</v>
      </c>
      <c r="D43" s="8">
        <f t="shared" ref="D43:D44" si="1">SUM(C43)/SUM($C$43:$C$45)</f>
        <v>0.46</v>
      </c>
      <c r="E43" s="14">
        <f>1-D43</f>
        <v>0.54</v>
      </c>
      <c r="G43" s="5" t="s">
        <v>214</v>
      </c>
      <c r="H43" t="s">
        <v>217</v>
      </c>
    </row>
    <row r="44" spans="2:11">
      <c r="B44" s="6" t="s">
        <v>30</v>
      </c>
      <c r="C44">
        <f>IFERROR(GETPIVOTDATA("Full Name",$B$32,"Work Location","Head Office"),"0")</f>
        <v>8</v>
      </c>
      <c r="D44" s="8">
        <f t="shared" si="1"/>
        <v>0.16</v>
      </c>
      <c r="E44" s="14">
        <f>1-D44</f>
        <v>0.84</v>
      </c>
      <c r="G44" s="6" t="s">
        <v>75</v>
      </c>
      <c r="H44" s="7">
        <v>12</v>
      </c>
      <c r="J44" s="5" t="s">
        <v>214</v>
      </c>
      <c r="K44" t="s">
        <v>217</v>
      </c>
    </row>
    <row r="45" spans="2:11">
      <c r="B45" s="6" t="s">
        <v>54</v>
      </c>
      <c r="C45">
        <f>IFERROR(GETPIVOTDATA("Full Name",$B$32,"Work Location","Remote"),"0")</f>
        <v>19</v>
      </c>
      <c r="D45" s="8">
        <f>SUM(C45)/SUM($C$43:$C$45)</f>
        <v>0.38</v>
      </c>
      <c r="E45" s="14">
        <f>1-D45</f>
        <v>0.62</v>
      </c>
      <c r="G45" s="6" t="s">
        <v>34</v>
      </c>
      <c r="H45" s="7">
        <v>11</v>
      </c>
      <c r="J45" s="6" t="s">
        <v>75</v>
      </c>
      <c r="K45" s="7">
        <v>12</v>
      </c>
    </row>
    <row r="46" spans="2:11">
      <c r="C46">
        <f>SUM(C43:C45)</f>
        <v>50</v>
      </c>
      <c r="G46" s="6" t="s">
        <v>96</v>
      </c>
      <c r="H46" s="7">
        <v>7</v>
      </c>
      <c r="J46" s="6" t="s">
        <v>34</v>
      </c>
      <c r="K46" s="7">
        <v>11</v>
      </c>
    </row>
    <row r="47" spans="2:11">
      <c r="G47" s="6" t="s">
        <v>56</v>
      </c>
      <c r="H47" s="7">
        <v>11</v>
      </c>
      <c r="J47" s="6" t="s">
        <v>96</v>
      </c>
      <c r="K47" s="7">
        <v>7</v>
      </c>
    </row>
    <row r="48" spans="2:11">
      <c r="G48" s="6" t="s">
        <v>66</v>
      </c>
      <c r="H48" s="7">
        <v>9</v>
      </c>
      <c r="J48" s="6" t="s">
        <v>56</v>
      </c>
      <c r="K48" s="7">
        <v>11</v>
      </c>
    </row>
    <row r="49" spans="1:11">
      <c r="G49" s="6" t="s">
        <v>215</v>
      </c>
      <c r="H49" s="7"/>
      <c r="J49" s="6" t="s">
        <v>66</v>
      </c>
      <c r="K49" s="7">
        <v>9</v>
      </c>
    </row>
    <row r="50" spans="1:11">
      <c r="G50" s="6" t="s">
        <v>216</v>
      </c>
      <c r="H50" s="7">
        <v>50</v>
      </c>
      <c r="J50" s="6" t="s">
        <v>215</v>
      </c>
      <c r="K50" s="7"/>
    </row>
    <row r="51" spans="1:11">
      <c r="A51" s="5" t="s">
        <v>214</v>
      </c>
      <c r="B51" t="s">
        <v>217</v>
      </c>
      <c r="D51" s="6" t="s">
        <v>75</v>
      </c>
      <c r="J51" s="6" t="s">
        <v>216</v>
      </c>
      <c r="K51" s="7">
        <v>50</v>
      </c>
    </row>
    <row r="52" spans="1:11">
      <c r="A52" s="6" t="s">
        <v>39</v>
      </c>
      <c r="B52" s="7">
        <v>14</v>
      </c>
      <c r="D52" s="6" t="s">
        <v>34</v>
      </c>
    </row>
    <row r="53" spans="1:11">
      <c r="A53" s="6" t="s">
        <v>24</v>
      </c>
      <c r="B53" s="7">
        <v>10</v>
      </c>
      <c r="D53" s="6" t="s">
        <v>96</v>
      </c>
      <c r="F53" s="17"/>
      <c r="G53" s="17"/>
    </row>
    <row r="54" spans="1:11">
      <c r="A54" s="6" t="s">
        <v>102</v>
      </c>
      <c r="B54" s="7">
        <v>7</v>
      </c>
      <c r="D54" s="6" t="s">
        <v>56</v>
      </c>
      <c r="F54" s="6"/>
      <c r="G54" s="7"/>
      <c r="J54" s="5" t="s">
        <v>214</v>
      </c>
      <c r="K54" t="s">
        <v>224</v>
      </c>
    </row>
    <row r="55" spans="1:11">
      <c r="A55" s="6" t="s">
        <v>80</v>
      </c>
      <c r="B55" s="7">
        <v>10</v>
      </c>
      <c r="D55" s="6" t="s">
        <v>66</v>
      </c>
      <c r="F55" s="6"/>
      <c r="G55" s="7"/>
      <c r="J55" s="6" t="s">
        <v>26</v>
      </c>
      <c r="K55" s="18">
        <v>2.5833333333333335</v>
      </c>
    </row>
    <row r="56" spans="1:11">
      <c r="A56" s="6" t="s">
        <v>49</v>
      </c>
      <c r="B56" s="7">
        <v>9</v>
      </c>
      <c r="F56" s="6"/>
      <c r="G56" s="7"/>
      <c r="J56" s="6" t="s">
        <v>41</v>
      </c>
      <c r="K56" s="18">
        <v>3.3</v>
      </c>
    </row>
    <row r="57" spans="1:11">
      <c r="A57" s="6" t="s">
        <v>215</v>
      </c>
      <c r="B57" s="7"/>
      <c r="F57" s="6"/>
      <c r="G57" s="7"/>
      <c r="J57" s="6" t="s">
        <v>81</v>
      </c>
      <c r="K57" s="18">
        <v>2.25</v>
      </c>
    </row>
    <row r="58" spans="1:11">
      <c r="A58" s="6" t="s">
        <v>216</v>
      </c>
      <c r="B58" s="7">
        <v>50</v>
      </c>
      <c r="J58" s="6" t="s">
        <v>51</v>
      </c>
      <c r="K58" s="18">
        <v>2.3636363636363638</v>
      </c>
    </row>
    <row r="59" spans="1:11">
      <c r="J59" s="6" t="s">
        <v>60</v>
      </c>
      <c r="K59" s="18">
        <v>2.5555555555555554</v>
      </c>
    </row>
    <row r="60" spans="1:11">
      <c r="A60" s="6" t="s">
        <v>39</v>
      </c>
      <c r="B60">
        <f>IFERROR(GETPIVOTDATA("Full Name",$A$51,"Region","Central"),"0")</f>
        <v>14</v>
      </c>
      <c r="J60" s="6" t="s">
        <v>215</v>
      </c>
      <c r="K60" s="18"/>
    </row>
    <row r="61" spans="1:11">
      <c r="A61" s="6" t="s">
        <v>24</v>
      </c>
      <c r="B61">
        <f>IFERROR(GETPIVOTDATA("Full Name",$A$51,"Region","East"),"0")</f>
        <v>10</v>
      </c>
      <c r="J61" s="6" t="s">
        <v>216</v>
      </c>
      <c r="K61" s="7">
        <v>2.62</v>
      </c>
    </row>
    <row r="62" spans="1:11">
      <c r="A62" s="6" t="s">
        <v>102</v>
      </c>
      <c r="B62">
        <f>IFERROR(GETPIVOTDATA("Full Name",$A$51,"Region","North"),"0")</f>
        <v>7</v>
      </c>
    </row>
    <row r="63" spans="1:11">
      <c r="A63" s="6" t="s">
        <v>80</v>
      </c>
      <c r="B63">
        <f>IFERROR(GETPIVOTDATA("Full Name",$A$51,"Region","South"),"0")</f>
        <v>10</v>
      </c>
      <c r="J63" s="6" t="s">
        <v>26</v>
      </c>
      <c r="K63" s="18">
        <f>IFERROR(GETPIVOTDATA("Performance Rating",$J$54,"Department","Finance"),"0")</f>
        <v>2.5833333333333335</v>
      </c>
    </row>
    <row r="64" spans="1:11">
      <c r="A64" s="6" t="s">
        <v>49</v>
      </c>
      <c r="B64">
        <f>IFERROR(GETPIVOTDATA("Full Name",$A$51,"Region","West"),"0")</f>
        <v>9</v>
      </c>
      <c r="J64" s="6" t="s">
        <v>41</v>
      </c>
      <c r="K64">
        <f>IFERROR(GETPIVOTDATA("Performance Rating",$J$54,"Department","HR"),"0")</f>
        <v>3.3</v>
      </c>
    </row>
    <row r="65" spans="1:11">
      <c r="A65" s="6" t="s">
        <v>222</v>
      </c>
      <c r="B65">
        <f>SUM(B60:B64)</f>
        <v>50</v>
      </c>
      <c r="J65" s="6" t="s">
        <v>81</v>
      </c>
      <c r="K65" s="18">
        <f>IFERROR(GETPIVOTDATA("Performance Rating",$J$54,"Department","IT"),"0")</f>
        <v>2.25</v>
      </c>
    </row>
    <row r="66" spans="1:11">
      <c r="J66" s="6" t="s">
        <v>51</v>
      </c>
      <c r="K66" s="18">
        <f>IFERROR(GETPIVOTDATA("Performance Rating",$J$54,"Department","Marketing"),"0")</f>
        <v>2.3636363636363638</v>
      </c>
    </row>
    <row r="67" spans="1:11">
      <c r="J67" s="6" t="s">
        <v>60</v>
      </c>
      <c r="K67" s="18">
        <f>IFERROR(GETPIVOTDATA("Performance Rating",$J$54,"Department","Operations"),"0")</f>
        <v>2.5555555555555554</v>
      </c>
    </row>
    <row r="68" spans="1:11">
      <c r="J68" s="6" t="s">
        <v>222</v>
      </c>
      <c r="K68" s="19">
        <f>SUM(K63:K67)</f>
        <v>13.052525252525252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C05A5-96AD-4A5C-9942-DE0AB66660BA}">
  <sheetPr>
    <tabColor theme="4" tint="0.79998168889431442"/>
  </sheetPr>
  <dimension ref="A1"/>
  <sheetViews>
    <sheetView showGridLines="0" tabSelected="1" zoomScale="85" zoomScaleNormal="100" workbookViewId="0">
      <selection activeCell="M39" sqref="M39"/>
    </sheetView>
  </sheetViews>
  <sheetFormatPr defaultRowHeight="14.4"/>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PivotTable</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nimavatmeet61@gmail.com</cp:lastModifiedBy>
  <dcterms:created xsi:type="dcterms:W3CDTF">2024-12-11T17:14:33Z</dcterms:created>
  <dcterms:modified xsi:type="dcterms:W3CDTF">2025-10-17T07:30:58Z</dcterms:modified>
</cp:coreProperties>
</file>